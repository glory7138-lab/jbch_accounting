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c.ahn\Documents\카카오톡 받은 파일\"/>
    </mc:Choice>
  </mc:AlternateContent>
  <bookViews>
    <workbookView xWindow="32772" yWindow="32772" windowWidth="23040" windowHeight="9348" tabRatio="884" firstSheet="1" activeTab="1"/>
  </bookViews>
  <sheets>
    <sheet name="Sheet3" sheetId="1" state="hidden" r:id="rId1"/>
    <sheet name="통합계정" sheetId="5" r:id="rId2"/>
    <sheet name="일반계정" sheetId="6" r:id="rId3"/>
    <sheet name="교회학교후원회비" sheetId="7" r:id="rId4"/>
    <sheet name="사랑의헌금" sheetId="8" r:id="rId5"/>
    <sheet name="선교회비" sheetId="9" r:id="rId6"/>
    <sheet name="건축계정" sheetId="10" r:id="rId7"/>
    <sheet name="승강기계정" sheetId="21" r:id="rId8"/>
    <sheet name="해외후원" sheetId="11" r:id="rId9"/>
    <sheet name="국내선교" sheetId="12" r:id="rId10"/>
    <sheet name="계정코드" sheetId="13" r:id="rId11"/>
    <sheet name="장부작성시 주의사항" sheetId="14" r:id="rId12"/>
  </sheets>
  <externalReferences>
    <externalReference r:id="rId13"/>
  </externalReferences>
  <definedNames>
    <definedName name="_xlnm._FilterDatabase" localSheetId="6" hidden="1">건축계정!$A$3:$N$73</definedName>
    <definedName name="_xlnm._FilterDatabase" localSheetId="3" hidden="1">교회학교후원회비!$A$3:$L$3</definedName>
    <definedName name="_xlnm._FilterDatabase" localSheetId="9" hidden="1">국내선교!$A$3:$K$3</definedName>
    <definedName name="_xlnm._FilterDatabase" localSheetId="4" hidden="1">사랑의헌금!$A$3:$K$3</definedName>
    <definedName name="_xlnm._FilterDatabase" localSheetId="5" hidden="1">선교회비!$A$3:$K$40</definedName>
    <definedName name="_xlnm._FilterDatabase" localSheetId="7" hidden="1">승강기계정!$A$3:$K$3</definedName>
    <definedName name="_xlnm._FilterDatabase" localSheetId="2" hidden="1">일반계정!$A$3:$N$3</definedName>
    <definedName name="_xlnm._FilterDatabase" localSheetId="1" hidden="1">통합계정!$A$3:$M$27</definedName>
    <definedName name="_xlnm._FilterDatabase" localSheetId="8" hidden="1">해외후원!$A$3:$K$3</definedName>
    <definedName name="_xlnm.Print_Area" localSheetId="10">계정코드!$A$1:$F$258</definedName>
    <definedName name="_xlnm.Print_Area" localSheetId="2">일반계정!$A:$K</definedName>
    <definedName name="_xlnm.Print_Titles" localSheetId="6">건축계정!$1:$3</definedName>
    <definedName name="_xlnm.Print_Titles" localSheetId="10">계정코드!$4:$4</definedName>
    <definedName name="_xlnm.Print_Titles" localSheetId="3">교회학교후원회비!$1:$3</definedName>
    <definedName name="_xlnm.Print_Titles" localSheetId="9">국내선교!$1:$3</definedName>
    <definedName name="_xlnm.Print_Titles" localSheetId="4">사랑의헌금!$1:$3</definedName>
    <definedName name="_xlnm.Print_Titles" localSheetId="5">선교회비!$1:$3</definedName>
    <definedName name="_xlnm.Print_Titles" localSheetId="2">일반계정!$1:$3</definedName>
    <definedName name="_xlnm.Print_Titles" localSheetId="1">통합계정!$1:$3</definedName>
    <definedName name="_xlnm.Print_Titles" localSheetId="8">해외후원!$1:$3</definedName>
  </definedNames>
  <calcPr calcId="977461" fullCalcOnLoad="1"/>
  <pivotCaches>
    <pivotCache cacheId="0" r:id="rId14"/>
  </pivotCaches>
</workbook>
</file>

<file path=xl/calcChain.xml><?xml version="1.0" encoding="utf-8"?>
<calcChain xmlns="http://schemas.openxmlformats.org/spreadsheetml/2006/main">
  <c r="F4" i="12" l="1"/>
  <c r="E4" i="12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K4" i="6"/>
  <c r="J4" i="11"/>
  <c r="G4" i="11"/>
  <c r="H32" i="7"/>
  <c r="G32" i="7"/>
  <c r="H4" i="11"/>
  <c r="H67" i="10"/>
  <c r="G67" i="10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H40" i="9"/>
  <c r="G40" i="9"/>
  <c r="H19" i="8"/>
  <c r="G19" i="8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J32" i="7"/>
  <c r="H5" i="12"/>
  <c r="G5" i="12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H8" i="21"/>
  <c r="G8" i="21"/>
  <c r="E68" i="10"/>
  <c r="E69" i="10"/>
  <c r="E70" i="10"/>
  <c r="E71" i="10"/>
  <c r="E72" i="10"/>
  <c r="E73" i="10"/>
  <c r="F73" i="10"/>
  <c r="K4" i="21"/>
  <c r="K5" i="21"/>
  <c r="K6" i="21"/>
  <c r="K7" i="21"/>
  <c r="J8" i="21"/>
  <c r="K4" i="12"/>
  <c r="K6" i="12"/>
  <c r="K7" i="12"/>
  <c r="K8" i="12"/>
  <c r="K9" i="12"/>
  <c r="K10" i="12"/>
  <c r="K11" i="12"/>
  <c r="K12" i="12"/>
  <c r="K13" i="12"/>
  <c r="K14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E7" i="12"/>
  <c r="F70" i="13"/>
  <c r="E6" i="12"/>
  <c r="F6" i="12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J19" i="8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J40" i="9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J5" i="12"/>
  <c r="K68" i="10"/>
  <c r="K69" i="10"/>
  <c r="K70" i="10"/>
  <c r="K71" i="10"/>
  <c r="K72" i="10"/>
  <c r="K73" i="10"/>
  <c r="J67" i="10"/>
</calcChain>
</file>

<file path=xl/sharedStrings.xml><?xml version="1.0" encoding="utf-8"?>
<sst xmlns="http://schemas.openxmlformats.org/spreadsheetml/2006/main" count="1920" uniqueCount="412">
  <si>
    <t>화장실 소모품(검정비닐봉지, 화장지)</t>
  </si>
  <si>
    <t>1월 4주차 헌금 (1/21) - 잔돈</t>
  </si>
  <si>
    <t>1402, 6401 자동차세, 보험료</t>
  </si>
  <si>
    <t>시설물 점검, 검사료(전기점검 대금)</t>
  </si>
  <si>
    <t>시설공사 간식 및 식사비(봉사자포함)</t>
  </si>
  <si>
    <t>교회 전체 임원 수련회 및 모임 관련 비용</t>
  </si>
  <si>
    <t>동계수련회 매점수입(마산교회-30%)</t>
  </si>
  <si>
    <t>전도인복리후생비(수련회경비,하계휴가비)</t>
  </si>
  <si>
    <t>소집회 강사료(외부강사) 교구, 낮전도집회</t>
  </si>
  <si>
    <t>서적부 (달력대금, 다이어리 대금 등)</t>
  </si>
  <si>
    <t>교회당 환경 개선&amp;유지비 (조경관련)</t>
  </si>
  <si>
    <t>필리핀 퀘존 심방여비(담임목사내외분)</t>
  </si>
  <si>
    <t>유초등부 및 중고등부 통합 후원회비</t>
  </si>
  <si>
    <t>사무실 예비비용(주당 50만원)</t>
  </si>
  <si>
    <t>추계수양회 새신자 지원금 (회비)</t>
  </si>
  <si>
    <t>(십일조,주일, 감사등등 포함)</t>
  </si>
  <si>
    <t>특별지원헌금(형제,자매 재정지원)</t>
  </si>
  <si>
    <t>건축계정 -&gt; 일반계정으로 상환</t>
  </si>
  <si>
    <t>지역교회(밀양교회)-대여금회수</t>
  </si>
  <si>
    <t>춘계수양회 새신자 지원금 (차비)</t>
  </si>
  <si>
    <t>작성일 : 2020년 2월 5일</t>
  </si>
  <si>
    <t>추계수양회 새신자 지원금 (차비)</t>
  </si>
  <si>
    <t>지역교회(마산교회)-대여금회수</t>
  </si>
  <si>
    <t>일반계정 -&gt; 건축계정으로 상환</t>
  </si>
  <si>
    <t>전도인전별금및전무자 퇴직적립금</t>
  </si>
  <si>
    <t>하계수양회 새신자 지원금 (차비)</t>
  </si>
  <si>
    <t>하계수양회 새신자 지원금 (회비)</t>
  </si>
  <si>
    <t>춘계수양회 새신자 지원금 (회비)</t>
  </si>
  <si>
    <t>교회사무실 예비비 (50만원)</t>
  </si>
  <si>
    <t>총회비</t>
  </si>
  <si>
    <t>이월금</t>
  </si>
  <si>
    <t>공과금</t>
  </si>
  <si>
    <t>운영비</t>
  </si>
  <si>
    <t>미선부</t>
  </si>
  <si>
    <t>기타</t>
  </si>
  <si>
    <t>농선부</t>
  </si>
  <si>
    <t>십일조 외</t>
  </si>
  <si>
    <t>봉사부서</t>
  </si>
  <si>
    <t>차량유지비</t>
  </si>
  <si>
    <t>시설&amp;운영관리</t>
  </si>
  <si>
    <t>기타수입</t>
  </si>
  <si>
    <t>세계선교헌금</t>
  </si>
  <si>
    <t>후원교회헌금</t>
  </si>
  <si>
    <t>타교회헌금</t>
  </si>
  <si>
    <t>전도집회헌금</t>
  </si>
  <si>
    <t>감사헌금</t>
  </si>
  <si>
    <t>교회 회계</t>
  </si>
  <si>
    <t>주일헌금</t>
  </si>
  <si>
    <t>2월</t>
  </si>
  <si>
    <t>3주차</t>
  </si>
  <si>
    <t>4주차</t>
  </si>
  <si>
    <t>3월</t>
  </si>
  <si>
    <t>1주차</t>
  </si>
  <si>
    <t>2주차</t>
  </si>
  <si>
    <t>5주차</t>
  </si>
  <si>
    <t>십일조</t>
  </si>
  <si>
    <t>주일말씀</t>
  </si>
  <si>
    <t>미디어선교회비</t>
  </si>
  <si>
    <t>전도인 상비품</t>
  </si>
  <si>
    <t>기타 잡비</t>
  </si>
  <si>
    <t>사랑의헌금</t>
  </si>
  <si>
    <t>해외후원헌금</t>
  </si>
  <si>
    <t>건축헌금</t>
  </si>
  <si>
    <t>사무&amp;비품</t>
  </si>
  <si>
    <t>이체 오류</t>
  </si>
  <si>
    <t>해외후원교회</t>
  </si>
  <si>
    <t>전도집회비</t>
  </si>
  <si>
    <t>선교회비</t>
  </si>
  <si>
    <t>총회</t>
  </si>
  <si>
    <t>전도집회 초대장, 포스터 제작비 (모든 전도집회)</t>
  </si>
  <si>
    <t>4. 지출결의번호 생성은 지출시점에 생성한다. (지출결의서 작성 후 시간이 지난 후 지출되면 일자 차이로 인하여 확인 애로사항 발생 추정)</t>
  </si>
  <si>
    <t>총회 창원권역 동계수련회 지원비</t>
  </si>
  <si>
    <t>전무자(사무실) 월급 및 상여금</t>
  </si>
  <si>
    <t>전무자(관리인) 월급 및 상여금</t>
  </si>
  <si>
    <t>교회당 유지 관련 비품 및 소모품</t>
  </si>
  <si>
    <t>4137 정비, 검사 및 수리비</t>
  </si>
  <si>
    <t>유초등부 및 중고등부 통합후원회비</t>
  </si>
  <si>
    <t>필리핀 퀘존 지원비(물품구입등)</t>
  </si>
  <si>
    <t>아르헨티나 심방여비(담임목사내외분)</t>
  </si>
  <si>
    <t>우편물 (택배등) - 우편통신비</t>
  </si>
  <si>
    <t>1월 5주차 헌금 (1/28) 잔돈</t>
  </si>
  <si>
    <t>1월 4주차 헌금 (1/21)</t>
  </si>
  <si>
    <t>1월 1주차 헌금 (1/7일 잔돈)</t>
  </si>
  <si>
    <t>2614 정비, 검사 및 수리비</t>
  </si>
  <si>
    <t>1월 3주차 헌금 (1/14) 잔돈</t>
  </si>
  <si>
    <t>2614, 4137 하이패스 충전료</t>
  </si>
  <si>
    <t>1월 5주차 헌금 (1/28)</t>
  </si>
  <si>
    <t>선교사님 방문 여비 및 지원금</t>
  </si>
  <si>
    <t>퇴직 적립금</t>
  </si>
  <si>
    <t>전기요금</t>
  </si>
  <si>
    <t>차량 기타비용</t>
  </si>
  <si>
    <t>아르헨티나</t>
  </si>
  <si>
    <t>전도인전도비</t>
  </si>
  <si>
    <t xml:space="preserve">CJ헬로비젼 </t>
  </si>
  <si>
    <t>정수기 렌탈비</t>
  </si>
  <si>
    <t>전도집회 잡비</t>
  </si>
  <si>
    <t>KT통신요금</t>
  </si>
  <si>
    <t>난방유 구입</t>
  </si>
  <si>
    <t>상하수도 요금</t>
  </si>
  <si>
    <t>강사숙소 비품</t>
  </si>
  <si>
    <t>교회당 집기류</t>
  </si>
  <si>
    <t>이체오류</t>
  </si>
  <si>
    <t>종량제 쓰레기봉투, 음식쓰레기 칩, 폐품처리비,하얀비닐봉투</t>
  </si>
  <si>
    <t>장례 조의금</t>
  </si>
  <si>
    <t>타계정 대여금</t>
  </si>
  <si>
    <t>기타헌금</t>
  </si>
  <si>
    <t>가스요금</t>
  </si>
  <si>
    <t>정수기 종이컵</t>
  </si>
  <si>
    <t>장례 화환</t>
  </si>
  <si>
    <t>방송실 관련 기타 비용</t>
  </si>
  <si>
    <t>미선부 관련 기타 비용</t>
  </si>
  <si>
    <t>갈릴리 수양관 건축 분담금</t>
  </si>
  <si>
    <t>전무자복리후생비(하계휴가비)</t>
  </si>
  <si>
    <t>기타 축의금(개업식등)</t>
  </si>
  <si>
    <t>6401 정비 및 수리비</t>
  </si>
  <si>
    <t>1. 수입 계정</t>
  </si>
  <si>
    <t>방송실</t>
  </si>
  <si>
    <t>축의금</t>
  </si>
  <si>
    <t>차입금</t>
  </si>
  <si>
    <t>교회사무실 비치 의약품</t>
  </si>
  <si>
    <t>농선부 관련 기타 비용</t>
  </si>
  <si>
    <t>담임목사님 사택 유지보수비</t>
  </si>
  <si>
    <t>손님 접대용 차, 음료류</t>
  </si>
  <si>
    <t>교회학교후원회비</t>
  </si>
  <si>
    <t>필리핀 퀘존 선교회비</t>
  </si>
  <si>
    <t>교회행사(야외교제등)</t>
  </si>
  <si>
    <t>회별, 부서별 반환금</t>
  </si>
  <si>
    <t>교회학교 후원회비</t>
  </si>
  <si>
    <t>동계 관련 비용</t>
  </si>
  <si>
    <t>지역교회지원헌금</t>
  </si>
  <si>
    <t>동계수련회 식비잔액</t>
  </si>
  <si>
    <t>동계수련회 현장접수비</t>
  </si>
  <si>
    <t>국내교회입당헌금</t>
  </si>
  <si>
    <t>임원수련회비 90명</t>
  </si>
  <si>
    <t>교회학교 중고등부</t>
  </si>
  <si>
    <t>4137 주유비</t>
  </si>
  <si>
    <t>교회사무실 사무용품</t>
  </si>
  <si>
    <t>교회사무실 잡비</t>
  </si>
  <si>
    <t>2614 주유비</t>
  </si>
  <si>
    <t>해외교회입당헌금</t>
  </si>
  <si>
    <t xml:space="preserve">일반 -&gt; 건축 </t>
  </si>
  <si>
    <t>외부전도인 사례비</t>
  </si>
  <si>
    <t>외부전도인 유류대</t>
  </si>
  <si>
    <t>해외후원 미스 입금</t>
  </si>
  <si>
    <t>건축 헌금 미스 입금</t>
  </si>
  <si>
    <t>해외 후원 미스 입금</t>
  </si>
  <si>
    <t>은장회 관련 비용</t>
  </si>
  <si>
    <t>지하수 이용부담금</t>
  </si>
  <si>
    <t>국내교회집회헌금</t>
  </si>
  <si>
    <t>삼성 SDS요금 2건</t>
  </si>
  <si>
    <t>전도집회 식대비</t>
  </si>
  <si>
    <t>복사용지 구입비</t>
  </si>
  <si>
    <t>유초등부 후원회비</t>
  </si>
  <si>
    <t>전도집회 강사 교통비</t>
  </si>
  <si>
    <t>중고등부 후원회비</t>
  </si>
  <si>
    <t>전도집회 강사료</t>
  </si>
  <si>
    <t>전도집회 강사 접대비</t>
  </si>
  <si>
    <t>담임목사님사택관리비</t>
  </si>
  <si>
    <t>교회사무실 집기류</t>
  </si>
  <si>
    <t>주변 유지 명절 선물 비용 (마을, 오뚜기등)</t>
  </si>
  <si>
    <t>1월 1주차 이체 헌금</t>
  </si>
  <si>
    <t>직원 식대비 (점심)/</t>
  </si>
  <si>
    <t>2614, 4137 보험료</t>
  </si>
  <si>
    <t>임원수련회비 찬조금(8명)</t>
  </si>
  <si>
    <t>동계수련회 기념품(머그컵)</t>
  </si>
  <si>
    <t>동계수련회 헌금(1~3차)</t>
  </si>
  <si>
    <t>성도교제의밤 포토존 수익금</t>
  </si>
  <si>
    <t>동계수련회 포토존 수익금</t>
  </si>
  <si>
    <t>교회당 및 시설물의 잡비</t>
  </si>
  <si>
    <t>1월 2주차 이체 헌금</t>
  </si>
  <si>
    <t>1월 2주차 헌금 (1/7)</t>
  </si>
  <si>
    <t>전도집회 현수막 제작비</t>
  </si>
  <si>
    <t>1월 3주차 헌금(1/14)</t>
  </si>
  <si>
    <t>교회사무실 복사기 렌탈비</t>
  </si>
  <si>
    <t>1402 정비 및 수리비</t>
  </si>
  <si>
    <t>1월 3주차 이체 헌금</t>
  </si>
  <si>
    <t>1월 5주차 이체 헌금</t>
  </si>
  <si>
    <t>1월 4주차 이체 헌금</t>
  </si>
  <si>
    <t>교회당 환경 개선&amp;유지보수 자재비 (리모델링관련)</t>
  </si>
  <si>
    <t>회별 관련 기타비용</t>
  </si>
  <si>
    <t>청년회 관련 비용</t>
  </si>
  <si>
    <t>구역 관련 비용</t>
  </si>
  <si>
    <t>일반 -&gt; 건축 상환</t>
  </si>
  <si>
    <t>대출금 원금상환</t>
  </si>
  <si>
    <t>대출금 상환수수료</t>
  </si>
  <si>
    <t>아르헨티나 권역</t>
  </si>
  <si>
    <t>소망관 건축 분담금</t>
  </si>
  <si>
    <t>건축 -&gt; 일반 대여</t>
  </si>
  <si>
    <t>건축 -&gt; 일반 상환</t>
  </si>
  <si>
    <t>농지 보전 분담금</t>
  </si>
  <si>
    <t>외부전도인 차비</t>
  </si>
  <si>
    <t>외부전도인 식사비</t>
  </si>
  <si>
    <t>토지구입 기타 잡비</t>
  </si>
  <si>
    <t>소식지 용지 구입비</t>
  </si>
  <si>
    <t>춘계 관련 비용</t>
  </si>
  <si>
    <t>해외후원참여헌금</t>
  </si>
  <si>
    <t>명절 선물(은장회)</t>
  </si>
  <si>
    <t>공기청정기 렌탈</t>
  </si>
  <si>
    <t>하계수양회 관련 비용</t>
  </si>
  <si>
    <t>교회학교 유초등부</t>
  </si>
  <si>
    <t>교회당 화재보험료</t>
  </si>
  <si>
    <t>재산세(대한@)</t>
  </si>
  <si>
    <t>추계수양회 관련 비용</t>
  </si>
  <si>
    <t>전도지원비</t>
  </si>
  <si>
    <t>입금전표&amp;
지출 결의 번호</t>
  </si>
  <si>
    <t>사용해도 남아 있는 공구류</t>
  </si>
  <si>
    <t>* 장부 작성시 주의 사항</t>
  </si>
  <si>
    <t>국내선교헌금(지역선교)</t>
  </si>
  <si>
    <t>후원교회 선교사님 방문 경비</t>
  </si>
  <si>
    <t>사랑의헌금 -&gt; 건축 대여</t>
  </si>
  <si>
    <t>총회,분담금,퀘존/아르헨티나</t>
  </si>
  <si>
    <t>일반 -&gt; 건축  대여</t>
  </si>
  <si>
    <t>교회당 환경 개선&amp;유지비</t>
  </si>
  <si>
    <t>일반 -&gt; 사랑의 헌금 대여</t>
  </si>
  <si>
    <t>교회학교 전도집회(유초중고)</t>
  </si>
  <si>
    <t>차입금(은행-마산교회대여용)</t>
  </si>
  <si>
    <t>건축 -&gt; 사랑의 헌금 대여</t>
  </si>
  <si>
    <t>필리핀 퀘존 건축 지원금</t>
  </si>
  <si>
    <t>일반 -&gt; 교회학교 대여</t>
  </si>
  <si>
    <t>사랑의헌금 -&gt; 일반 대여</t>
  </si>
  <si>
    <t>◆ 창원교회 회계 계정코드</t>
  </si>
  <si>
    <t>친교부(갈릴리학교)</t>
  </si>
  <si>
    <t>필리핀 퀘존권역</t>
  </si>
  <si>
    <t>수련회 관련비용</t>
  </si>
  <si>
    <t>후원회비 반환금</t>
  </si>
  <si>
    <t>아르헨티나 선교헌금</t>
  </si>
  <si>
    <t>차입금(사택담보)</t>
  </si>
  <si>
    <t>전무자퇴직금적립</t>
  </si>
  <si>
    <t>교회직원및전도인</t>
  </si>
  <si>
    <t>은행(사랑의헌금)</t>
  </si>
  <si>
    <t>은행(일반계정)</t>
  </si>
  <si>
    <t>은행(건축계정)</t>
  </si>
  <si>
    <t>세부계정항목(예산안)</t>
  </si>
  <si>
    <t>자판기 관리지출</t>
  </si>
  <si>
    <t>성도주소록 제작비</t>
  </si>
  <si>
    <t>전도인 퇴직전별금</t>
  </si>
  <si>
    <t>LGU+ 인터넷 요금</t>
  </si>
  <si>
    <t>차량 검사 및 수리비</t>
  </si>
  <si>
    <t>전도집회 특강 사례비</t>
  </si>
  <si>
    <t>외부강사 주일말씀</t>
  </si>
  <si>
    <t>시설공사비 및 인건비</t>
  </si>
  <si>
    <t>해외교회선교헌금</t>
  </si>
  <si>
    <t>해외교회지원헌금</t>
  </si>
  <si>
    <t>헌금</t>
  </si>
  <si>
    <t>일반</t>
  </si>
  <si>
    <t>건축</t>
  </si>
  <si>
    <t>봉사회</t>
  </si>
  <si>
    <t>은장회</t>
  </si>
  <si>
    <t>부채</t>
  </si>
  <si>
    <t>자산</t>
  </si>
  <si>
    <t>후원회</t>
  </si>
  <si>
    <t>선교회</t>
  </si>
  <si>
    <t>수입</t>
  </si>
  <si>
    <t>청년회</t>
  </si>
  <si>
    <t>교회</t>
  </si>
  <si>
    <t>잡수입</t>
  </si>
  <si>
    <t>은행</t>
  </si>
  <si>
    <t>지출</t>
  </si>
  <si>
    <t xml:space="preserve">지출 </t>
  </si>
  <si>
    <t>찬양대</t>
  </si>
  <si>
    <t>예비비</t>
  </si>
  <si>
    <t>대여금</t>
  </si>
  <si>
    <t>조의금</t>
  </si>
  <si>
    <t>3. 적요 부분에서 같은 내용이라면 통일 시킬 것. (예- 주유비/ 주유금액- 같은 내용을 상이하게 하지 말것)</t>
  </si>
  <si>
    <t>사무실자매님 주유비 (매월 30,000)</t>
  </si>
  <si>
    <t>필리핀퀘존권역헌금(김포,고창,세종중부)</t>
  </si>
  <si>
    <t>교회당 시설물 유지관리비(공구구입등)</t>
  </si>
  <si>
    <t>일반계정 -&gt; 사랑의헌금계정으로 상환</t>
  </si>
  <si>
    <t>사랑의헌금계정 -&gt; 일반계정으로 상환</t>
  </si>
  <si>
    <t>사랑의헌금계정 -&gt; 건축계정으로 상환</t>
  </si>
  <si>
    <t>건축계정 -&gt; 사랑의헌금계정으로 상환</t>
  </si>
  <si>
    <t>1. 지정된 코드를 반드시 사용한다.</t>
  </si>
  <si>
    <t>적요</t>
  </si>
  <si>
    <t>자재비</t>
  </si>
  <si>
    <t>수령자</t>
  </si>
  <si>
    <t>비고</t>
  </si>
  <si>
    <t>총합계</t>
  </si>
  <si>
    <t>지출월</t>
  </si>
  <si>
    <t>주차</t>
  </si>
  <si>
    <t>`</t>
  </si>
  <si>
    <t>통합계좌
잔액</t>
  </si>
  <si>
    <t>열 레이블</t>
  </si>
  <si>
    <t>수입금액</t>
  </si>
  <si>
    <t>2022신설</t>
  </si>
  <si>
    <t>2023신설</t>
  </si>
  <si>
    <t>조경 관련비</t>
  </si>
  <si>
    <t>단위 : 천원</t>
  </si>
  <si>
    <t>#N/A</t>
  </si>
  <si>
    <t>계정잔액</t>
  </si>
  <si>
    <t>(비어 있음)</t>
  </si>
  <si>
    <t>(다중 항목)</t>
  </si>
  <si>
    <t>지출금액</t>
  </si>
  <si>
    <t>일반계정잔액</t>
  </si>
  <si>
    <t>구 계좌
잔액</t>
  </si>
  <si>
    <t>행 레이블</t>
  </si>
  <si>
    <t>2024신설</t>
  </si>
  <si>
    <t>다이어리대금</t>
  </si>
  <si>
    <t>자판기판매수입</t>
  </si>
  <si>
    <t>사진촬영</t>
  </si>
  <si>
    <t>매점수입</t>
  </si>
  <si>
    <t>회별헌금</t>
  </si>
  <si>
    <t>국내선교헌금</t>
  </si>
  <si>
    <t>중고등부</t>
  </si>
  <si>
    <t>대여금회수</t>
  </si>
  <si>
    <t>특별헌금</t>
  </si>
  <si>
    <t>방송실수입</t>
  </si>
  <si>
    <t>서적부수입</t>
  </si>
  <si>
    <t>어머니회</t>
  </si>
  <si>
    <t>일반계정헌금</t>
  </si>
  <si>
    <t>유초등부</t>
  </si>
  <si>
    <t>특별선교헌금</t>
  </si>
  <si>
    <t>사랑의 헌금</t>
  </si>
  <si>
    <t>해외후원</t>
  </si>
  <si>
    <t>미선부수입</t>
  </si>
  <si>
    <t>국내선교</t>
  </si>
  <si>
    <t>목적헌금</t>
  </si>
  <si>
    <t>차입금(은행)</t>
  </si>
  <si>
    <t>달력대금</t>
  </si>
  <si>
    <t>2. 지출계정</t>
  </si>
  <si>
    <t>전도인 지원금</t>
  </si>
  <si>
    <t>이자수입</t>
  </si>
  <si>
    <t>복리후생비</t>
  </si>
  <si>
    <t>각 부서</t>
  </si>
  <si>
    <t>국내교회후원</t>
  </si>
  <si>
    <t>계정코드</t>
  </si>
  <si>
    <t>대분류계정항목</t>
  </si>
  <si>
    <t>부서지출</t>
  </si>
  <si>
    <t>버스차비</t>
  </si>
  <si>
    <t>고성교회 후원</t>
  </si>
  <si>
    <t>토지구입</t>
  </si>
  <si>
    <t>카페퀘존</t>
  </si>
  <si>
    <t>재정구분</t>
  </si>
  <si>
    <t>중장비관련</t>
  </si>
  <si>
    <t>예비비환입금</t>
  </si>
  <si>
    <t>전도집회경비</t>
  </si>
  <si>
    <t>해외선교부</t>
  </si>
  <si>
    <t>대출이자</t>
  </si>
  <si>
    <t>계정유형</t>
  </si>
  <si>
    <t>기타 축의금</t>
  </si>
  <si>
    <t>이체오류수입</t>
  </si>
  <si>
    <t>국내후원교회</t>
  </si>
  <si>
    <t>전무자 퇴직금</t>
  </si>
  <si>
    <t>건축관련</t>
  </si>
  <si>
    <t>KT전화요금</t>
  </si>
  <si>
    <t>인테리어</t>
  </si>
  <si>
    <t>중분류계정항목</t>
  </si>
  <si>
    <t>은장회선물</t>
  </si>
  <si>
    <t>일반 예비비</t>
  </si>
  <si>
    <t>회장단식사찬조</t>
  </si>
  <si>
    <t>이체오류지출</t>
  </si>
  <si>
    <t>2. 새로운 코드 생성은 회계가 정한다. (필요시 회계담당자와 교제)</t>
  </si>
  <si>
    <t xml:space="preserve">   20-0105-001   (연도-월일-순번)</t>
  </si>
  <si>
    <t>대분류 계정 항목</t>
  </si>
  <si>
    <t>2022.06 도입</t>
  </si>
  <si>
    <t>합계 : 지출금액</t>
  </si>
  <si>
    <t>사용 후 없어지는 것</t>
  </si>
  <si>
    <t>2023년 도입</t>
  </si>
  <si>
    <t>2024년 도입</t>
  </si>
  <si>
    <t>2024년 신설</t>
  </si>
  <si>
    <r>
      <t>2</t>
    </r>
    <r>
      <rPr>
        <sz val="11"/>
        <rFont val="돋움"/>
        <family val="3"/>
        <charset val="129"/>
      </rPr>
      <t>021년 도입</t>
    </r>
  </si>
  <si>
    <r>
      <t>2</t>
    </r>
    <r>
      <rPr>
        <sz val="11"/>
        <rFont val="돋움"/>
        <family val="3"/>
        <charset val="129"/>
      </rPr>
      <t>023년 도입</t>
    </r>
  </si>
  <si>
    <r>
      <t>2</t>
    </r>
    <r>
      <rPr>
        <sz val="11"/>
        <rFont val="돋움"/>
        <family val="3"/>
        <charset val="129"/>
      </rPr>
      <t>023년11월</t>
    </r>
  </si>
  <si>
    <t>지출</t>
    <phoneticPr fontId="19" type="noConversion"/>
  </si>
  <si>
    <t>건축</t>
    <phoneticPr fontId="19" type="noConversion"/>
  </si>
  <si>
    <t>1주차</t>
    <phoneticPr fontId="19" type="noConversion"/>
  </si>
  <si>
    <t>4주차</t>
    <phoneticPr fontId="19" type="noConversion"/>
  </si>
  <si>
    <t>유수지 개발 관련</t>
    <phoneticPr fontId="19" type="noConversion"/>
  </si>
  <si>
    <t>기타 부대 비용</t>
    <phoneticPr fontId="19" type="noConversion"/>
  </si>
  <si>
    <t>매입부지 개발 관련</t>
    <phoneticPr fontId="19" type="noConversion"/>
  </si>
  <si>
    <t>세계선교분담금</t>
    <phoneticPr fontId="19" type="noConversion"/>
  </si>
  <si>
    <t>승강기헌금</t>
    <phoneticPr fontId="19" type="noConversion"/>
  </si>
  <si>
    <t>목적헌금</t>
    <phoneticPr fontId="19" type="noConversion"/>
  </si>
  <si>
    <t>2월</t>
    <phoneticPr fontId="19" type="noConversion"/>
  </si>
  <si>
    <t>입금전표&amp;
지출 결의 번호</t>
    <phoneticPr fontId="19" type="noConversion"/>
  </si>
  <si>
    <t>승강기 
계좌잔액</t>
    <phoneticPr fontId="19" type="noConversion"/>
  </si>
  <si>
    <t>승강기 관련 비용</t>
    <phoneticPr fontId="19" type="noConversion"/>
  </si>
  <si>
    <t>2025년 도입</t>
    <phoneticPr fontId="19" type="noConversion"/>
  </si>
  <si>
    <t>3월</t>
    <phoneticPr fontId="19" type="noConversion"/>
  </si>
  <si>
    <t>2월 건축헌금 결산 금액</t>
    <phoneticPr fontId="19" type="noConversion"/>
  </si>
  <si>
    <t>3월1째주 이체 헌금</t>
    <phoneticPr fontId="19" type="noConversion"/>
  </si>
  <si>
    <t>스타리아</t>
    <phoneticPr fontId="19" type="noConversion"/>
  </si>
  <si>
    <t>스타리아 관련 비용</t>
    <phoneticPr fontId="19" type="noConversion"/>
  </si>
  <si>
    <t>4041 주유비</t>
    <phoneticPr fontId="19" type="noConversion"/>
  </si>
  <si>
    <t>2614, 4137,4041자동차세</t>
    <phoneticPr fontId="19" type="noConversion"/>
  </si>
  <si>
    <t>2614, 4137,4041 보험료</t>
    <phoneticPr fontId="19" type="noConversion"/>
  </si>
  <si>
    <t>2614, 4137,4041하이패스 충전료</t>
    <phoneticPr fontId="19" type="noConversion"/>
  </si>
  <si>
    <t>2614, 4137,4041환경분담금</t>
    <phoneticPr fontId="19" type="noConversion"/>
  </si>
  <si>
    <t>기타</t>
    <phoneticPr fontId="19" type="noConversion"/>
  </si>
  <si>
    <t>병원 심방비</t>
    <phoneticPr fontId="19" type="noConversion"/>
  </si>
  <si>
    <t>일반</t>
    <phoneticPr fontId="19" type="noConversion"/>
  </si>
  <si>
    <t>2026년 통합계정 장부(일반,후원회비,사랑, 선교)</t>
    <phoneticPr fontId="19" type="noConversion"/>
  </si>
  <si>
    <t>2026년 일반계정 장부</t>
    <phoneticPr fontId="19" type="noConversion"/>
  </si>
  <si>
    <t>2026년 교회학교후원회비계정 장부</t>
    <phoneticPr fontId="19" type="noConversion"/>
  </si>
  <si>
    <t>2026년 사랑의헌금계정 장부</t>
    <phoneticPr fontId="19" type="noConversion"/>
  </si>
  <si>
    <t>2026년 선교회비(세계선교포함) 계정 장부</t>
    <phoneticPr fontId="19" type="noConversion"/>
  </si>
  <si>
    <t>2026년 건축계정 장부</t>
    <phoneticPr fontId="19" type="noConversion"/>
  </si>
  <si>
    <t>2026년 승강기 계정 장부</t>
    <phoneticPr fontId="19" type="noConversion"/>
  </si>
  <si>
    <t>2026년 해외후원참여헌금 계정 장부</t>
    <phoneticPr fontId="19" type="noConversion"/>
  </si>
  <si>
    <t>2026년 국내선교 계정 장부</t>
    <phoneticPr fontId="19" type="noConversion"/>
  </si>
  <si>
    <t>승강기 유지 보수 관련 비용</t>
    <phoneticPr fontId="19" type="noConversion"/>
  </si>
  <si>
    <t xml:space="preserve">지출 </t>
    <phoneticPr fontId="19" type="noConversion"/>
  </si>
  <si>
    <t>26년 신설</t>
    <phoneticPr fontId="19" type="noConversion"/>
  </si>
  <si>
    <t>수입-20260301-001</t>
    <phoneticPr fontId="19" type="noConversion"/>
  </si>
  <si>
    <t>3월1째주 헌금(3/1)</t>
    <phoneticPr fontId="19" type="noConversion"/>
  </si>
  <si>
    <t>2월 승강기헌금 결산 금액</t>
    <phoneticPr fontId="19" type="noConversion"/>
  </si>
  <si>
    <t>2월 해외후원 결산 금액</t>
    <phoneticPr fontId="19" type="noConversion"/>
  </si>
  <si>
    <t>2월 국내선교 결산 금액</t>
    <phoneticPr fontId="19" type="noConversion"/>
  </si>
  <si>
    <t>2월 교회학교후원회비 결산 금액</t>
    <phoneticPr fontId="19" type="noConversion"/>
  </si>
  <si>
    <t>2월 사랑의헌금 결산 금액</t>
    <phoneticPr fontId="19" type="noConversion"/>
  </si>
  <si>
    <t>2월 선교회비 결산 금액</t>
    <phoneticPr fontId="19" type="noConversion"/>
  </si>
  <si>
    <t>신축공사현장대리인</t>
    <phoneticPr fontId="19" type="noConversion"/>
  </si>
  <si>
    <t>시설&amp;운영관리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</si>
</sst>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-* #,##0.000_-;\-* #,##0.000_-;_-* &quot;-&quot;_-;_-@_-"/>
    <numFmt numFmtId="177" formatCode="#,##0.000_ "/>
    <numFmt numFmtId="178" formatCode="mm&quot;월&quot;\ dd&quot;일&quot;"/>
    <numFmt numFmtId="179" formatCode="_-* #,##0.000_-;\-* #,##0.000_-;_-* &quot;-&quot;??_-;_-@_-"/>
  </numFmts>
  <fonts count="36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1"/>
      <color indexed="23"/>
      <name val="맑은 고딕"/>
      <family val="3"/>
      <charset val="129"/>
    </font>
    <font>
      <sz val="10"/>
      <color indexed="23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10"/>
      <color indexed="8"/>
      <name val="돋움"/>
      <family val="3"/>
      <charset val="129"/>
    </font>
    <font>
      <b/>
      <i/>
      <sz val="12"/>
      <color indexed="8"/>
      <name val="맑은 고딕"/>
      <family val="3"/>
      <charset val="129"/>
    </font>
    <font>
      <sz val="11"/>
      <color indexed="10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color indexed="9"/>
      <name val="맑은 고딕"/>
      <family val="3"/>
      <charset val="129"/>
    </font>
    <font>
      <sz val="12"/>
      <color indexed="10"/>
      <name val="맑은 고딕"/>
      <family val="3"/>
      <charset val="129"/>
    </font>
    <font>
      <sz val="12"/>
      <color indexed="23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D9D9D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8">
    <xf numFmtId="0" fontId="0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3" fillId="30" borderId="20" applyNumberForma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8" fillId="4" borderId="21" applyNumberFormat="0" applyFont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" fillId="33" borderId="22" applyNumberFormat="0" applyAlignment="0" applyProtection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0" fontId="27" fillId="0" borderId="23" applyNumberFormat="0" applyFill="0" applyAlignment="0" applyProtection="0">
      <alignment vertical="center"/>
    </xf>
    <xf numFmtId="0" fontId="5" fillId="0" borderId="24" applyNumberFormat="0" applyFill="0" applyAlignment="0" applyProtection="0">
      <alignment vertical="center"/>
    </xf>
    <xf numFmtId="0" fontId="28" fillId="3" borderId="20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0" borderId="2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</cellStyleXfs>
  <cellXfs count="139">
    <xf numFmtId="0" fontId="0" fillId="0" borderId="0" xfId="0" applyNumberFormat="1" applyFont="1">
      <alignment vertical="center"/>
    </xf>
    <xf numFmtId="0" fontId="6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left" vertical="center"/>
    </xf>
    <xf numFmtId="0" fontId="7" fillId="35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7" fillId="35" borderId="1" xfId="0" applyNumberFormat="1" applyFont="1" applyFill="1" applyBorder="1" applyAlignment="1">
      <alignment horizontal="center" vertical="center" wrapText="1"/>
    </xf>
    <xf numFmtId="0" fontId="7" fillId="35" borderId="2" xfId="0" applyNumberFormat="1" applyFont="1" applyFill="1" applyBorder="1" applyAlignment="1">
      <alignment horizontal="center" vertical="center"/>
    </xf>
    <xf numFmtId="0" fontId="7" fillId="35" borderId="2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left" vertical="center" shrinkToFit="1"/>
    </xf>
    <xf numFmtId="0" fontId="10" fillId="0" borderId="0" xfId="0" applyNumberFormat="1" applyFont="1" applyAlignment="1">
      <alignment horizontal="left" vertical="center"/>
    </xf>
    <xf numFmtId="0" fontId="10" fillId="0" borderId="0" xfId="0" applyNumberFormat="1" applyFont="1" applyAlignment="1">
      <alignment horizontal="left" vertical="center" shrinkToFit="1"/>
    </xf>
    <xf numFmtId="0" fontId="10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7" fillId="35" borderId="3" xfId="0" applyNumberFormat="1" applyFont="1" applyFill="1" applyBorder="1" applyAlignment="1">
      <alignment horizontal="center" vertical="center"/>
    </xf>
    <xf numFmtId="0" fontId="7" fillId="35" borderId="4" xfId="0" applyNumberFormat="1" applyFont="1" applyFill="1" applyBorder="1" applyAlignment="1">
      <alignment horizontal="center" vertical="center"/>
    </xf>
    <xf numFmtId="0" fontId="7" fillId="35" borderId="4" xfId="0" applyNumberFormat="1" applyFont="1" applyFill="1" applyBorder="1" applyAlignment="1">
      <alignment horizontal="center" vertical="center" shrinkToFit="1"/>
    </xf>
    <xf numFmtId="0" fontId="7" fillId="35" borderId="5" xfId="0" applyNumberFormat="1" applyFont="1" applyFill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left" vertical="center" shrinkToFit="1"/>
    </xf>
    <xf numFmtId="0" fontId="6" fillId="0" borderId="7" xfId="0" applyNumberFormat="1" applyFont="1" applyBorder="1" applyAlignment="1">
      <alignment horizontal="center" vertical="center" shrinkToFit="1"/>
    </xf>
    <xf numFmtId="0" fontId="6" fillId="0" borderId="8" xfId="0" applyNumberFormat="1" applyFont="1" applyBorder="1" applyAlignment="1">
      <alignment horizontal="center" vertical="center" shrinkToFit="1"/>
    </xf>
    <xf numFmtId="0" fontId="6" fillId="0" borderId="9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left" vertical="center" shrinkToFit="1"/>
    </xf>
    <xf numFmtId="0" fontId="6" fillId="0" borderId="10" xfId="0" applyNumberFormat="1" applyFont="1" applyBorder="1" applyAlignment="1">
      <alignment horizontal="center" vertical="center" shrinkToFit="1"/>
    </xf>
    <xf numFmtId="0" fontId="6" fillId="0" borderId="11" xfId="0" applyNumberFormat="1" applyFont="1" applyBorder="1" applyAlignment="1">
      <alignment horizontal="center" vertical="center" shrinkToFit="1"/>
    </xf>
    <xf numFmtId="0" fontId="6" fillId="0" borderId="12" xfId="0" applyNumberFormat="1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left" vertical="center" shrinkToFit="1"/>
    </xf>
    <xf numFmtId="0" fontId="6" fillId="0" borderId="13" xfId="0" applyNumberFormat="1" applyFont="1" applyBorder="1" applyAlignment="1">
      <alignment horizontal="center" vertical="center" shrinkToFit="1"/>
    </xf>
    <xf numFmtId="0" fontId="6" fillId="0" borderId="14" xfId="0" applyNumberFormat="1" applyFont="1" applyBorder="1" applyAlignment="1">
      <alignment horizontal="center" vertical="center" shrinkToFit="1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6" fontId="12" fillId="0" borderId="0" xfId="32" applyNumberFormat="1" applyFont="1">
      <alignment vertical="center"/>
    </xf>
    <xf numFmtId="176" fontId="1" fillId="0" borderId="0" xfId="32" applyNumberFormat="1" applyFont="1">
      <alignment vertical="center"/>
    </xf>
    <xf numFmtId="176" fontId="7" fillId="35" borderId="2" xfId="32" applyNumberFormat="1" applyFont="1" applyFill="1" applyBorder="1" applyAlignment="1">
      <alignment horizontal="center" vertical="center"/>
    </xf>
    <xf numFmtId="176" fontId="1" fillId="0" borderId="0" xfId="32" applyNumberFormat="1" applyFont="1" applyAlignment="1">
      <alignment horizontal="left" vertical="center" shrinkToFit="1"/>
    </xf>
    <xf numFmtId="176" fontId="7" fillId="35" borderId="2" xfId="32" applyNumberFormat="1" applyFont="1" applyFill="1" applyBorder="1" applyAlignment="1">
      <alignment horizontal="center" vertical="center" shrinkToFit="1"/>
    </xf>
    <xf numFmtId="176" fontId="6" fillId="0" borderId="0" xfId="32" applyNumberFormat="1" applyFont="1" applyAlignment="1">
      <alignment horizontal="center" vertical="center"/>
    </xf>
    <xf numFmtId="0" fontId="6" fillId="0" borderId="10" xfId="0" applyNumberFormat="1" applyFont="1" applyBorder="1" applyAlignment="1">
      <alignment horizontal="left" vertical="center"/>
    </xf>
    <xf numFmtId="176" fontId="7" fillId="35" borderId="1" xfId="32" applyNumberFormat="1" applyFont="1" applyFill="1" applyBorder="1" applyAlignment="1">
      <alignment horizontal="center" vertical="center" shrinkToFit="1"/>
    </xf>
    <xf numFmtId="176" fontId="7" fillId="35" borderId="1" xfId="32" applyNumberFormat="1" applyFont="1" applyFill="1" applyBorder="1" applyAlignment="1">
      <alignment horizontal="center" vertical="center"/>
    </xf>
    <xf numFmtId="176" fontId="12" fillId="0" borderId="0" xfId="32" applyNumberFormat="1" applyFont="1" applyAlignment="1">
      <alignment vertical="center" shrinkToFit="1"/>
    </xf>
    <xf numFmtId="0" fontId="1" fillId="0" borderId="0" xfId="0" applyNumberFormat="1" applyFont="1" applyAlignment="1">
      <alignment vertical="center" shrinkToFit="1"/>
    </xf>
    <xf numFmtId="176" fontId="14" fillId="0" borderId="0" xfId="32" applyNumberFormat="1" applyFont="1" applyAlignment="1">
      <alignment horizontal="center" vertical="center" shrinkToFit="1"/>
    </xf>
    <xf numFmtId="0" fontId="6" fillId="0" borderId="0" xfId="0" applyNumberFormat="1" applyFont="1" applyAlignment="1">
      <alignment horizontal="center" vertical="center" shrinkToFit="1"/>
    </xf>
    <xf numFmtId="176" fontId="13" fillId="0" borderId="0" xfId="32" applyNumberFormat="1" applyFont="1" applyAlignment="1">
      <alignment horizontal="center" vertical="center" shrinkToFit="1"/>
    </xf>
    <xf numFmtId="0" fontId="8" fillId="0" borderId="0" xfId="0" applyNumberFormat="1" applyFont="1">
      <alignment vertical="center"/>
    </xf>
    <xf numFmtId="0" fontId="6" fillId="5" borderId="9" xfId="0" applyNumberFormat="1" applyFont="1" applyFill="1" applyBorder="1" applyAlignment="1">
      <alignment horizontal="center" vertical="center"/>
    </xf>
    <xf numFmtId="0" fontId="6" fillId="5" borderId="10" xfId="0" applyNumberFormat="1" applyFont="1" applyFill="1" applyBorder="1" applyAlignment="1">
      <alignment horizontal="center" vertical="center"/>
    </xf>
    <xf numFmtId="0" fontId="6" fillId="5" borderId="10" xfId="0" applyNumberFormat="1" applyFont="1" applyFill="1" applyBorder="1" applyAlignment="1">
      <alignment horizontal="left" vertical="center" shrinkToFit="1"/>
    </xf>
    <xf numFmtId="0" fontId="6" fillId="5" borderId="10" xfId="0" applyNumberFormat="1" applyFont="1" applyFill="1" applyBorder="1" applyAlignment="1">
      <alignment horizontal="center" vertical="center" shrinkToFit="1"/>
    </xf>
    <xf numFmtId="0" fontId="6" fillId="5" borderId="11" xfId="0" applyNumberFormat="1" applyFont="1" applyFill="1" applyBorder="1" applyAlignment="1">
      <alignment horizontal="center" vertical="center" shrinkToFit="1"/>
    </xf>
    <xf numFmtId="0" fontId="15" fillId="0" borderId="0" xfId="0" applyNumberFormat="1" applyFont="1">
      <alignment vertical="center"/>
    </xf>
    <xf numFmtId="177" fontId="15" fillId="0" borderId="0" xfId="0" applyNumberFormat="1" applyFont="1" applyAlignment="1">
      <alignment vertical="center" shrinkToFit="1"/>
    </xf>
    <xf numFmtId="0" fontId="15" fillId="0" borderId="0" xfId="0" applyNumberFormat="1" applyFont="1" applyAlignment="1">
      <alignment vertical="center" shrinkToFit="1"/>
    </xf>
    <xf numFmtId="176" fontId="14" fillId="0" borderId="0" xfId="32" applyNumberFormat="1" applyFont="1" applyAlignment="1">
      <alignment horizontal="center" vertical="center" wrapText="1"/>
    </xf>
    <xf numFmtId="176" fontId="6" fillId="0" borderId="0" xfId="32" applyNumberFormat="1" applyFont="1" applyAlignment="1">
      <alignment horizontal="center" vertical="center" wrapText="1"/>
    </xf>
    <xf numFmtId="0" fontId="15" fillId="0" borderId="0" xfId="0" applyNumberFormat="1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 shrinkToFit="1"/>
    </xf>
    <xf numFmtId="178" fontId="6" fillId="0" borderId="10" xfId="0" applyNumberFormat="1" applyFont="1" applyBorder="1" applyAlignment="1">
      <alignment horizontal="center" vertical="center"/>
    </xf>
    <xf numFmtId="176" fontId="12" fillId="2" borderId="0" xfId="32" applyNumberFormat="1" applyFont="1" applyFill="1">
      <alignment vertical="center"/>
    </xf>
    <xf numFmtId="176" fontId="14" fillId="2" borderId="0" xfId="32" applyNumberFormat="1" applyFont="1" applyFill="1" applyAlignment="1">
      <alignment horizontal="center" vertical="center" shrinkToFit="1"/>
    </xf>
    <xf numFmtId="176" fontId="12" fillId="2" borderId="0" xfId="32" applyNumberFormat="1" applyFont="1" applyFill="1" applyAlignment="1">
      <alignment vertical="center" shrinkToFit="1"/>
    </xf>
    <xf numFmtId="176" fontId="13" fillId="2" borderId="0" xfId="32" applyNumberFormat="1" applyFont="1" applyFill="1" applyAlignment="1">
      <alignment horizontal="center" vertical="center" shrinkToFit="1"/>
    </xf>
    <xf numFmtId="0" fontId="6" fillId="2" borderId="9" xfId="0" applyNumberFormat="1" applyFont="1" applyFill="1" applyBorder="1" applyAlignment="1">
      <alignment horizontal="center" vertical="center"/>
    </xf>
    <xf numFmtId="0" fontId="6" fillId="2" borderId="10" xfId="0" applyNumberFormat="1" applyFont="1" applyFill="1" applyBorder="1" applyAlignment="1">
      <alignment horizontal="center" vertical="center"/>
    </xf>
    <xf numFmtId="0" fontId="6" fillId="2" borderId="10" xfId="0" applyNumberFormat="1" applyFont="1" applyFill="1" applyBorder="1" applyAlignment="1">
      <alignment horizontal="left" vertical="center" shrinkToFit="1"/>
    </xf>
    <xf numFmtId="0" fontId="6" fillId="2" borderId="10" xfId="0" applyNumberFormat="1" applyFont="1" applyFill="1" applyBorder="1" applyAlignment="1">
      <alignment horizontal="center" vertical="center" shrinkToFit="1"/>
    </xf>
    <xf numFmtId="0" fontId="6" fillId="2" borderId="11" xfId="0" applyNumberFormat="1" applyFont="1" applyFill="1" applyBorder="1" applyAlignment="1">
      <alignment horizontal="center" vertical="center" shrinkToFit="1"/>
    </xf>
    <xf numFmtId="179" fontId="16" fillId="36" borderId="15" xfId="0" applyNumberFormat="1" applyFont="1" applyFill="1" applyBorder="1">
      <alignment vertical="center"/>
    </xf>
    <xf numFmtId="0" fontId="17" fillId="0" borderId="0" xfId="0" applyNumberFormat="1" applyFont="1">
      <alignment vertical="center"/>
    </xf>
    <xf numFmtId="177" fontId="15" fillId="5" borderId="0" xfId="0" applyNumberFormat="1" applyFont="1" applyFill="1" applyAlignment="1">
      <alignment vertical="center" shrinkToFit="1"/>
    </xf>
    <xf numFmtId="0" fontId="8" fillId="0" borderId="0" xfId="56" applyNumberFormat="1" applyFont="1" applyAlignment="1">
      <alignment horizontal="left" vertical="center"/>
    </xf>
    <xf numFmtId="0" fontId="1" fillId="0" borderId="0" xfId="56" applyNumberFormat="1" applyFont="1" applyAlignment="1">
      <alignment horizontal="left" vertical="center"/>
    </xf>
    <xf numFmtId="176" fontId="1" fillId="0" borderId="0" xfId="33" applyNumberFormat="1" applyFont="1" applyAlignment="1">
      <alignment horizontal="left" vertical="center" shrinkToFit="1"/>
    </xf>
    <xf numFmtId="176" fontId="1" fillId="0" borderId="0" xfId="33" applyNumberFormat="1" applyFont="1">
      <alignment vertical="center"/>
    </xf>
    <xf numFmtId="0" fontId="1" fillId="0" borderId="0" xfId="56" applyNumberFormat="1" applyFont="1">
      <alignment vertical="center"/>
    </xf>
    <xf numFmtId="176" fontId="12" fillId="0" borderId="0" xfId="33" applyNumberFormat="1" applyFont="1" applyAlignment="1">
      <alignment vertical="center" shrinkToFit="1"/>
    </xf>
    <xf numFmtId="0" fontId="6" fillId="0" borderId="0" xfId="56" applyNumberFormat="1" applyFont="1" applyAlignment="1">
      <alignment horizontal="left" vertical="center"/>
    </xf>
    <xf numFmtId="0" fontId="6" fillId="0" borderId="0" xfId="56" applyNumberFormat="1" applyFont="1" applyAlignment="1">
      <alignment horizontal="right" vertical="center"/>
    </xf>
    <xf numFmtId="0" fontId="7" fillId="35" borderId="1" xfId="56" applyNumberFormat="1" applyFont="1" applyFill="1" applyBorder="1" applyAlignment="1">
      <alignment horizontal="center" vertical="center"/>
    </xf>
    <xf numFmtId="0" fontId="7" fillId="35" borderId="1" xfId="56" applyNumberFormat="1" applyFont="1" applyFill="1" applyBorder="1" applyAlignment="1">
      <alignment horizontal="center" vertical="center" wrapText="1"/>
    </xf>
    <xf numFmtId="176" fontId="7" fillId="35" borderId="1" xfId="33" applyNumberFormat="1" applyFont="1" applyFill="1" applyBorder="1" applyAlignment="1">
      <alignment horizontal="center" vertical="center" shrinkToFit="1"/>
    </xf>
    <xf numFmtId="176" fontId="7" fillId="35" borderId="1" xfId="33" applyNumberFormat="1" applyFont="1" applyFill="1" applyBorder="1" applyAlignment="1">
      <alignment horizontal="center" vertical="center"/>
    </xf>
    <xf numFmtId="176" fontId="13" fillId="0" borderId="0" xfId="33" applyNumberFormat="1" applyFont="1" applyAlignment="1">
      <alignment horizontal="center" vertical="center" shrinkToFit="1"/>
    </xf>
    <xf numFmtId="0" fontId="6" fillId="0" borderId="0" xfId="56" applyNumberFormat="1" applyFont="1" applyAlignment="1">
      <alignment horizontal="center" vertical="center"/>
    </xf>
    <xf numFmtId="176" fontId="0" fillId="0" borderId="0" xfId="32" applyNumberFormat="1" applyFont="1">
      <alignment vertical="center"/>
    </xf>
    <xf numFmtId="0" fontId="15" fillId="0" borderId="0" xfId="0" applyNumberFormat="1" applyFont="1" applyAlignment="1">
      <alignment horizontal="left" vertical="center"/>
    </xf>
    <xf numFmtId="0" fontId="15" fillId="0" borderId="0" xfId="0" applyNumberFormat="1" applyFont="1" applyAlignment="1">
      <alignment horizontal="left" vertical="center" indent="1"/>
    </xf>
    <xf numFmtId="0" fontId="15" fillId="0" borderId="0" xfId="0" applyNumberFormat="1" applyFont="1" applyAlignment="1">
      <alignment horizontal="center" vertical="center" shrinkToFit="1"/>
    </xf>
    <xf numFmtId="176" fontId="16" fillId="36" borderId="15" xfId="37" applyNumberFormat="1" applyFont="1" applyFill="1" applyBorder="1" applyAlignment="1">
      <alignment horizontal="left" vertical="center" shrinkToFit="1"/>
    </xf>
    <xf numFmtId="0" fontId="0" fillId="0" borderId="0" xfId="0" applyNumberFormat="1">
      <alignment vertical="center"/>
    </xf>
    <xf numFmtId="0" fontId="15" fillId="0" borderId="0" xfId="0" pivotButton="1" applyNumberFormat="1" applyFo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shrinkToFit="1"/>
    </xf>
    <xf numFmtId="0" fontId="6" fillId="0" borderId="10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0" fillId="0" borderId="0" xfId="0">
      <alignment vertical="center"/>
    </xf>
    <xf numFmtId="0" fontId="6" fillId="0" borderId="10" xfId="0" applyFont="1" applyBorder="1" applyAlignment="1">
      <alignment horizontal="left" vertical="center"/>
    </xf>
    <xf numFmtId="0" fontId="6" fillId="0" borderId="10" xfId="0" quotePrefix="1" applyFont="1" applyBorder="1" applyAlignment="1">
      <alignment horizontal="left" vertical="center"/>
    </xf>
    <xf numFmtId="0" fontId="35" fillId="36" borderId="10" xfId="0" applyFont="1" applyFill="1" applyBorder="1" applyAlignment="1">
      <alignment horizontal="center" vertical="center"/>
    </xf>
    <xf numFmtId="176" fontId="6" fillId="0" borderId="10" xfId="40" applyNumberFormat="1" applyFont="1" applyBorder="1" applyAlignment="1">
      <alignment horizontal="left" vertical="center" shrinkToFit="1"/>
    </xf>
    <xf numFmtId="176" fontId="6" fillId="0" borderId="10" xfId="40" applyNumberFormat="1" applyFont="1" applyBorder="1" applyAlignment="1">
      <alignment horizontal="center" vertical="center"/>
    </xf>
    <xf numFmtId="178" fontId="35" fillId="0" borderId="10" xfId="0" applyNumberFormat="1" applyFont="1" applyBorder="1" applyAlignment="1">
      <alignment horizontal="center" vertical="center"/>
    </xf>
    <xf numFmtId="176" fontId="35" fillId="0" borderId="10" xfId="40" applyNumberFormat="1" applyFont="1" applyBorder="1" applyAlignment="1">
      <alignment horizontal="left" vertical="center" shrinkToFit="1"/>
    </xf>
    <xf numFmtId="176" fontId="35" fillId="0" borderId="10" xfId="40" applyNumberFormat="1" applyFont="1" applyBorder="1" applyAlignment="1">
      <alignment horizontal="center" vertical="center"/>
    </xf>
    <xf numFmtId="0" fontId="6" fillId="36" borderId="10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left" vertical="center"/>
    </xf>
    <xf numFmtId="0" fontId="20" fillId="35" borderId="2" xfId="0" applyNumberFormat="1" applyFont="1" applyFill="1" applyBorder="1" applyAlignment="1">
      <alignment horizontal="center" vertical="center"/>
    </xf>
    <xf numFmtId="0" fontId="20" fillId="35" borderId="2" xfId="0" applyNumberFormat="1" applyFont="1" applyFill="1" applyBorder="1" applyAlignment="1">
      <alignment horizontal="center" vertical="center" wrapText="1"/>
    </xf>
    <xf numFmtId="176" fontId="20" fillId="35" borderId="2" xfId="32" applyNumberFormat="1" applyFont="1" applyFill="1" applyBorder="1" applyAlignment="1">
      <alignment horizontal="center" vertical="center" shrinkToFit="1"/>
    </xf>
    <xf numFmtId="176" fontId="20" fillId="35" borderId="2" xfId="32" applyNumberFormat="1" applyFont="1" applyFill="1" applyBorder="1" applyAlignment="1">
      <alignment horizontal="center" vertical="center"/>
    </xf>
    <xf numFmtId="176" fontId="21" fillId="0" borderId="0" xfId="32" applyNumberFormat="1" applyFont="1" applyAlignment="1">
      <alignment horizontal="center" vertical="center" wrapText="1"/>
    </xf>
    <xf numFmtId="176" fontId="22" fillId="0" borderId="0" xfId="32" applyNumberFormat="1" applyFont="1" applyAlignment="1">
      <alignment vertical="center" shrinkToFit="1"/>
    </xf>
    <xf numFmtId="0" fontId="1" fillId="0" borderId="10" xfId="0" applyFont="1" applyBorder="1" applyAlignment="1">
      <alignment horizontal="center" vertical="center"/>
    </xf>
    <xf numFmtId="178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6" fillId="36" borderId="15" xfId="0" applyFont="1" applyFill="1" applyBorder="1" applyAlignment="1">
      <alignment horizontal="right" vertical="center"/>
    </xf>
    <xf numFmtId="178" fontId="6" fillId="0" borderId="16" xfId="0" applyNumberFormat="1" applyFont="1" applyBorder="1" applyAlignment="1">
      <alignment horizontal="center" vertical="center"/>
    </xf>
    <xf numFmtId="0" fontId="1" fillId="36" borderId="10" xfId="0" applyFont="1" applyFill="1" applyBorder="1" applyAlignment="1">
      <alignment horizontal="center" vertical="center"/>
    </xf>
    <xf numFmtId="176" fontId="1" fillId="0" borderId="10" xfId="40" applyNumberFormat="1" applyFont="1" applyBorder="1" applyAlignment="1">
      <alignment horizontal="left" vertical="center" shrinkToFit="1"/>
    </xf>
    <xf numFmtId="176" fontId="1" fillId="0" borderId="10" xfId="40" applyNumberFormat="1" applyFont="1" applyBorder="1" applyAlignment="1">
      <alignment horizontal="center" vertical="center"/>
    </xf>
    <xf numFmtId="178" fontId="1" fillId="0" borderId="16" xfId="0" applyNumberFormat="1" applyFont="1" applyBorder="1" applyAlignment="1">
      <alignment horizontal="center" vertical="center"/>
    </xf>
    <xf numFmtId="0" fontId="35" fillId="0" borderId="10" xfId="0" applyFont="1" applyBorder="1" applyAlignment="1">
      <alignment horizontal="left" vertical="center" wrapText="1"/>
    </xf>
    <xf numFmtId="0" fontId="8" fillId="0" borderId="0" xfId="0" applyNumberFormat="1" applyFont="1" applyAlignment="1">
      <alignment horizontal="left" vertical="center"/>
    </xf>
    <xf numFmtId="0" fontId="16" fillId="36" borderId="17" xfId="0" applyFont="1" applyFill="1" applyBorder="1" applyAlignment="1">
      <alignment horizontal="center" vertical="center"/>
    </xf>
    <xf numFmtId="0" fontId="16" fillId="36" borderId="18" xfId="0" applyFont="1" applyFill="1" applyBorder="1" applyAlignment="1">
      <alignment horizontal="center" vertical="center"/>
    </xf>
    <xf numFmtId="0" fontId="16" fillId="36" borderId="19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left" vertical="center" shrinkToFit="1"/>
    </xf>
  </cellXfs>
  <cellStyles count="58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32" builtinId="6"/>
    <cellStyle name="쉼표 [0] 2" xfId="33"/>
    <cellStyle name="쉼표 [0] 2 2" xfId="34"/>
    <cellStyle name="쉼표 [0] 2 2 2" xfId="35"/>
    <cellStyle name="쉼표 [0] 2 3" xfId="36"/>
    <cellStyle name="쉼표 [0] 3" xfId="37"/>
    <cellStyle name="쉼표 [0] 3 2" xfId="38"/>
    <cellStyle name="쉼표 [0] 3 2 2" xfId="39"/>
    <cellStyle name="쉼표 [0] 3 3" xfId="40"/>
    <cellStyle name="쉼표 [0] 4" xfId="41"/>
    <cellStyle name="쉼표 [0] 4 2" xfId="42"/>
    <cellStyle name="쉼표 [0] 5" xfId="43"/>
    <cellStyle name="연결된 셀" xfId="44" builtinId="24" customBuiltin="1"/>
    <cellStyle name="요약" xfId="45" builtinId="25" customBuiltin="1"/>
    <cellStyle name="입력" xfId="46" builtinId="20" customBuiltin="1"/>
    <cellStyle name="제목" xfId="47" builtinId="15" customBuiltin="1"/>
    <cellStyle name="제목 1" xfId="48" builtinId="16" customBuiltin="1"/>
    <cellStyle name="제목 2" xfId="49" builtinId="17" customBuiltin="1"/>
    <cellStyle name="제목 3" xfId="50" builtinId="18" customBuiltin="1"/>
    <cellStyle name="제목 4" xfId="51" builtinId="19" customBuiltin="1"/>
    <cellStyle name="좋음" xfId="52" builtinId="26" customBuiltin="1"/>
    <cellStyle name="출력" xfId="53" builtinId="21" customBuiltin="1"/>
    <cellStyle name="표준" xfId="0" builtinId="0"/>
    <cellStyle name="표준 2" xfId="54"/>
    <cellStyle name="표준 2 2" xfId="55"/>
    <cellStyle name="표준 3" xfId="56"/>
    <cellStyle name="표준 3 2" xfId="57"/>
  </cellStyles>
  <dxfs count="12">
    <dxf>
      <fill>
        <patternFill patternType="solid">
          <bgColor indexed="13"/>
        </patternFill>
      </fill>
    </dxf>
    <dxf>
      <alignment horizontal="center"/>
    </dxf>
    <dxf>
      <alignment horizontal="center"/>
    </dxf>
    <dxf>
      <alignment horizontal="center"/>
    </dxf>
    <dxf>
      <alignment shrinkToFit="1"/>
    </dxf>
    <dxf>
      <alignment shrinkToFit="1"/>
    </dxf>
    <dxf>
      <alignment shrinkToFit="1"/>
    </dxf>
    <dxf>
      <alignment shrinkToFit="1"/>
    </dxf>
    <dxf>
      <alignment shrinkToFit="1"/>
    </dxf>
    <dxf>
      <font>
        <extend val="0"/>
        <u val="none"/>
        <sz val="10"/>
      </font>
    </dxf>
    <dxf>
      <numFmt numFmtId="177" formatCode="#,##0.000_ "/>
    </dxf>
    <dxf>
      <numFmt numFmtId="177" formatCode="#,##0.000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68;&#54924;&#54924;&#44228;\&#54924;&#44228;\&#51109;&#48512;&#44277;&#50976;\2023&#45380;_&#54924;&#44228;_&#51109;&#48512;_K(07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지출금액"/>
      <sheetName val="통합계정"/>
      <sheetName val="일반계정"/>
      <sheetName val="교회학교후원회비"/>
      <sheetName val="사랑의헌금"/>
      <sheetName val="선교회비"/>
      <sheetName val="건축계정"/>
      <sheetName val="승강기계정"/>
      <sheetName val="해외후원"/>
      <sheetName val="국내선교"/>
      <sheetName val="계정코드"/>
      <sheetName val="장부작성시 주의사항"/>
      <sheetName val="Sheet1"/>
      <sheetName val="지출금액(10월)"/>
      <sheetName val="지출금액(8월)"/>
      <sheetName val="지출금액(7월)"/>
      <sheetName val="지출금액(5월)"/>
      <sheetName val="지출금액(4월)"/>
      <sheetName val="지출금액(3월)"/>
      <sheetName val="지출금액(1월)"/>
      <sheetName val="지출현황"/>
      <sheetName val="지출현황12월"/>
      <sheetName val="지출내역(12월)"/>
      <sheetName val="지출내역"/>
      <sheetName val="Sheet5"/>
      <sheetName val="Sheet6"/>
      <sheetName val="4월지출내역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A5">
            <v>11000</v>
          </cell>
          <cell r="B5" t="str">
            <v>십일조</v>
          </cell>
          <cell r="C5" t="str">
            <v>십일조</v>
          </cell>
          <cell r="D5"/>
          <cell r="E5" t="str">
            <v>헌금</v>
          </cell>
          <cell r="F5" t="str">
            <v>일반</v>
          </cell>
        </row>
        <row r="6">
          <cell r="A6">
            <v>11010</v>
          </cell>
          <cell r="B6" t="str">
            <v>십일조 외</v>
          </cell>
          <cell r="C6" t="str">
            <v>일반계정헌금</v>
          </cell>
          <cell r="D6" t="str">
            <v>(십일조,주일, 감사등등 포함)</v>
          </cell>
          <cell r="E6" t="str">
            <v>헌금</v>
          </cell>
          <cell r="F6" t="str">
            <v>일반</v>
          </cell>
        </row>
        <row r="7">
          <cell r="A7">
            <v>11100</v>
          </cell>
          <cell r="B7" t="str">
            <v>감사헌금</v>
          </cell>
          <cell r="C7" t="str">
            <v>감사헌금</v>
          </cell>
          <cell r="D7"/>
          <cell r="E7" t="str">
            <v>헌금</v>
          </cell>
          <cell r="F7" t="str">
            <v>일반</v>
          </cell>
        </row>
        <row r="8">
          <cell r="A8">
            <v>11200</v>
          </cell>
          <cell r="B8" t="str">
            <v>주일헌금</v>
          </cell>
          <cell r="C8" t="str">
            <v>주일헌금</v>
          </cell>
          <cell r="D8"/>
          <cell r="E8" t="str">
            <v>헌금</v>
          </cell>
          <cell r="F8" t="str">
            <v>일반</v>
          </cell>
        </row>
        <row r="9">
          <cell r="A9">
            <v>11300</v>
          </cell>
          <cell r="B9" t="str">
            <v>건축헌금</v>
          </cell>
          <cell r="C9" t="str">
            <v>건축헌금</v>
          </cell>
          <cell r="D9"/>
          <cell r="E9" t="str">
            <v>목적헌금</v>
          </cell>
          <cell r="F9" t="str">
            <v>건축</v>
          </cell>
        </row>
        <row r="10">
          <cell r="A10">
            <v>11310</v>
          </cell>
          <cell r="B10" t="str">
            <v>승강기헌금</v>
          </cell>
          <cell r="C10" t="str">
            <v>승강기헌금</v>
          </cell>
          <cell r="D10"/>
          <cell r="E10" t="str">
            <v>목적헌금</v>
          </cell>
          <cell r="F10" t="str">
            <v>건축</v>
          </cell>
        </row>
        <row r="11">
          <cell r="A11">
            <v>11400</v>
          </cell>
          <cell r="B11" t="str">
            <v>전도집회헌금</v>
          </cell>
          <cell r="C11" t="str">
            <v>전도집회헌금</v>
          </cell>
          <cell r="D11"/>
          <cell r="E11" t="str">
            <v>헌금</v>
          </cell>
          <cell r="F11" t="str">
            <v>일반</v>
          </cell>
        </row>
        <row r="12">
          <cell r="A12">
            <v>11500</v>
          </cell>
          <cell r="B12" t="str">
            <v>기타헌금</v>
          </cell>
          <cell r="C12" t="str">
            <v>회별헌금</v>
          </cell>
          <cell r="D12"/>
          <cell r="E12" t="str">
            <v>헌금</v>
          </cell>
          <cell r="F12" t="str">
            <v>일반</v>
          </cell>
        </row>
        <row r="13">
          <cell r="A13">
            <v>11510</v>
          </cell>
          <cell r="B13" t="str">
            <v>기타헌금</v>
          </cell>
          <cell r="C13" t="str">
            <v>회별헌금</v>
          </cell>
          <cell r="D13" t="str">
            <v>봉사회</v>
          </cell>
          <cell r="E13" t="str">
            <v>헌금</v>
          </cell>
          <cell r="F13" t="str">
            <v>일반</v>
          </cell>
        </row>
        <row r="14">
          <cell r="A14">
            <v>11520</v>
          </cell>
          <cell r="B14" t="str">
            <v>기타헌금</v>
          </cell>
          <cell r="C14" t="str">
            <v>회별헌금</v>
          </cell>
          <cell r="D14" t="str">
            <v>어머니회</v>
          </cell>
          <cell r="E14" t="str">
            <v>헌금</v>
          </cell>
          <cell r="F14" t="str">
            <v>일반</v>
          </cell>
        </row>
        <row r="15">
          <cell r="A15">
            <v>11530</v>
          </cell>
          <cell r="B15" t="str">
            <v>기타헌금</v>
          </cell>
          <cell r="C15" t="str">
            <v>회별헌금</v>
          </cell>
          <cell r="D15" t="str">
            <v>은장회</v>
          </cell>
          <cell r="E15" t="str">
            <v>헌금</v>
          </cell>
          <cell r="F15" t="str">
            <v>일반</v>
          </cell>
        </row>
        <row r="16">
          <cell r="A16">
            <v>11540</v>
          </cell>
          <cell r="B16" t="str">
            <v>기타헌금</v>
          </cell>
          <cell r="C16" t="str">
            <v>회별헌금</v>
          </cell>
          <cell r="D16" t="str">
            <v>청년회</v>
          </cell>
          <cell r="E16" t="str">
            <v>헌금</v>
          </cell>
          <cell r="F16" t="str">
            <v>일반</v>
          </cell>
        </row>
        <row r="17">
          <cell r="A17">
            <v>11550</v>
          </cell>
          <cell r="B17" t="str">
            <v>기타헌금</v>
          </cell>
          <cell r="C17" t="str">
            <v>회별헌금</v>
          </cell>
          <cell r="D17" t="str">
            <v>중고등부</v>
          </cell>
          <cell r="E17" t="str">
            <v>헌금</v>
          </cell>
          <cell r="F17" t="str">
            <v>일반</v>
          </cell>
        </row>
        <row r="18">
          <cell r="A18">
            <v>11560</v>
          </cell>
          <cell r="B18" t="str">
            <v>기타헌금</v>
          </cell>
          <cell r="C18" t="str">
            <v>회별헌금</v>
          </cell>
          <cell r="D18" t="str">
            <v>유초등부</v>
          </cell>
          <cell r="E18" t="str">
            <v>헌금</v>
          </cell>
          <cell r="F18" t="str">
            <v>일반</v>
          </cell>
        </row>
        <row r="19">
          <cell r="A19">
            <v>11600</v>
          </cell>
          <cell r="B19" t="str">
            <v>특별헌금</v>
          </cell>
          <cell r="C19" t="str">
            <v>특별헌금</v>
          </cell>
          <cell r="D19"/>
          <cell r="E19" t="str">
            <v>헌금</v>
          </cell>
          <cell r="F19" t="str">
            <v>일반</v>
          </cell>
        </row>
        <row r="20">
          <cell r="A20">
            <v>11610</v>
          </cell>
          <cell r="B20" t="str">
            <v>특별헌금</v>
          </cell>
          <cell r="C20" t="str">
            <v>특별헌금</v>
          </cell>
          <cell r="D20" t="str">
            <v>특별선교헌금</v>
          </cell>
          <cell r="E20" t="str">
            <v>헌금</v>
          </cell>
          <cell r="F20" t="str">
            <v>일반</v>
          </cell>
        </row>
        <row r="21">
          <cell r="A21">
            <v>11620</v>
          </cell>
          <cell r="B21" t="str">
            <v>특별헌금</v>
          </cell>
          <cell r="C21" t="str">
            <v>특별헌금</v>
          </cell>
          <cell r="D21" t="str">
            <v>특별지원헌금(형제,자매 재정지원)</v>
          </cell>
          <cell r="E21" t="str">
            <v>헌금</v>
          </cell>
          <cell r="F21" t="str">
            <v>일반</v>
          </cell>
        </row>
        <row r="22">
          <cell r="A22">
            <v>11999</v>
          </cell>
          <cell r="B22" t="str">
            <v>기타헌금</v>
          </cell>
          <cell r="C22" t="str">
            <v>기타헌금</v>
          </cell>
          <cell r="D22"/>
          <cell r="E22" t="str">
            <v>헌금</v>
          </cell>
          <cell r="F22" t="str">
            <v>일반</v>
          </cell>
        </row>
        <row r="23">
          <cell r="A23">
            <v>12000</v>
          </cell>
          <cell r="B23" t="str">
            <v>선교회비</v>
          </cell>
          <cell r="C23" t="str">
            <v>선교회비</v>
          </cell>
          <cell r="D23"/>
          <cell r="E23" t="str">
            <v>목적헌금</v>
          </cell>
          <cell r="F23" t="str">
            <v>선교회</v>
          </cell>
        </row>
        <row r="24">
          <cell r="A24">
            <v>12100</v>
          </cell>
          <cell r="B24" t="str">
            <v>세계선교분담금</v>
          </cell>
          <cell r="C24" t="str">
            <v>세계선교분담금</v>
          </cell>
          <cell r="D24" t="str">
            <v>총회,분담금,퀘존/아르헨티나</v>
          </cell>
          <cell r="E24" t="str">
            <v>목적헌금</v>
          </cell>
          <cell r="F24" t="str">
            <v>선교회</v>
          </cell>
        </row>
        <row r="25">
          <cell r="A25">
            <v>12200</v>
          </cell>
          <cell r="B25" t="str">
            <v>세계선교헌금</v>
          </cell>
          <cell r="C25" t="str">
            <v>세계선교헌금</v>
          </cell>
          <cell r="D25" t="str">
            <v>총회</v>
          </cell>
          <cell r="E25" t="str">
            <v>목적헌금</v>
          </cell>
          <cell r="F25" t="str">
            <v>선교회</v>
          </cell>
        </row>
        <row r="26">
          <cell r="A26">
            <v>13000</v>
          </cell>
          <cell r="B26" t="str">
            <v>교회학교후원회비</v>
          </cell>
          <cell r="C26" t="str">
            <v>교회학교후원회비</v>
          </cell>
          <cell r="D26"/>
          <cell r="E26" t="str">
            <v>목적헌금</v>
          </cell>
          <cell r="F26" t="str">
            <v>후원회</v>
          </cell>
        </row>
        <row r="27">
          <cell r="A27">
            <v>13010</v>
          </cell>
          <cell r="B27" t="str">
            <v>교회학교후원회비</v>
          </cell>
          <cell r="C27" t="str">
            <v>교회학교후원회비</v>
          </cell>
          <cell r="D27" t="str">
            <v>후원회비 반환금</v>
          </cell>
          <cell r="E27" t="str">
            <v>목적헌금</v>
          </cell>
          <cell r="F27" t="str">
            <v>후원회</v>
          </cell>
        </row>
        <row r="28">
          <cell r="A28">
            <v>13020</v>
          </cell>
          <cell r="B28" t="str">
            <v>교회학교후원회비</v>
          </cell>
          <cell r="C28" t="str">
            <v>교회학교후원회비</v>
          </cell>
          <cell r="D28" t="str">
            <v>유초등부 및 중고등부 통합 후원회비</v>
          </cell>
          <cell r="E28" t="str">
            <v>수입</v>
          </cell>
          <cell r="F28" t="str">
            <v>일반</v>
          </cell>
        </row>
        <row r="29">
          <cell r="A29">
            <v>14000</v>
          </cell>
          <cell r="B29" t="str">
            <v>사랑의헌금</v>
          </cell>
          <cell r="C29" t="str">
            <v>사랑의헌금</v>
          </cell>
          <cell r="D29"/>
          <cell r="E29" t="str">
            <v>목적헌금</v>
          </cell>
          <cell r="F29" t="str">
            <v>사랑의 헌금</v>
          </cell>
        </row>
        <row r="30">
          <cell r="A30">
            <v>15000</v>
          </cell>
          <cell r="B30" t="str">
            <v>해외후원헌금</v>
          </cell>
          <cell r="C30" t="str">
            <v>해외후원헌금</v>
          </cell>
          <cell r="D30"/>
          <cell r="E30" t="str">
            <v>목적헌금</v>
          </cell>
          <cell r="F30" t="str">
            <v>해외후원</v>
          </cell>
        </row>
        <row r="31">
          <cell r="A31">
            <v>15100</v>
          </cell>
          <cell r="B31" t="str">
            <v>해외후원헌금</v>
          </cell>
          <cell r="C31" t="str">
            <v>해외후원헌금</v>
          </cell>
          <cell r="D31" t="str">
            <v>해외후원참여헌금</v>
          </cell>
          <cell r="E31" t="str">
            <v>목적헌금</v>
          </cell>
          <cell r="F31" t="str">
            <v>해외후원</v>
          </cell>
        </row>
        <row r="32">
          <cell r="A32">
            <v>15200</v>
          </cell>
          <cell r="B32" t="str">
            <v>해외후원헌금</v>
          </cell>
          <cell r="C32" t="str">
            <v>해외후원헌금</v>
          </cell>
          <cell r="D32" t="str">
            <v>필리핀퀘존권역헌금(김포,고창,세종중부)</v>
          </cell>
          <cell r="E32" t="str">
            <v>목적헌금</v>
          </cell>
          <cell r="F32" t="str">
            <v>해외후원</v>
          </cell>
        </row>
        <row r="33">
          <cell r="A33">
            <v>15800</v>
          </cell>
          <cell r="B33" t="str">
            <v>해외후원헌금</v>
          </cell>
          <cell r="C33" t="str">
            <v>해외후원헌금</v>
          </cell>
          <cell r="D33" t="str">
            <v>아르헨티나 선교헌금</v>
          </cell>
          <cell r="E33" t="str">
            <v>목적헌금</v>
          </cell>
          <cell r="F33" t="str">
            <v>해외후원</v>
          </cell>
        </row>
        <row r="34">
          <cell r="A34">
            <v>15900</v>
          </cell>
          <cell r="B34" t="str">
            <v>해외후원헌금</v>
          </cell>
          <cell r="C34" t="str">
            <v>해외후원헌금</v>
          </cell>
          <cell r="D34" t="str">
            <v>기타</v>
          </cell>
          <cell r="E34" t="str">
            <v>목적헌금</v>
          </cell>
          <cell r="F34" t="str">
            <v>해외후원</v>
          </cell>
        </row>
        <row r="35">
          <cell r="A35">
            <v>16100</v>
          </cell>
          <cell r="B35" t="str">
            <v>국내선교</v>
          </cell>
          <cell r="C35" t="str">
            <v>국내선교헌금</v>
          </cell>
          <cell r="D35" t="str">
            <v>국내선교헌금(지역선교)</v>
          </cell>
          <cell r="E35" t="str">
            <v>목적헌금</v>
          </cell>
          <cell r="F35" t="str">
            <v>국내선교</v>
          </cell>
        </row>
        <row r="36">
          <cell r="A36">
            <v>23000</v>
          </cell>
          <cell r="B36" t="str">
            <v>기타수입</v>
          </cell>
          <cell r="C36" t="str">
            <v>차입금</v>
          </cell>
          <cell r="D36"/>
          <cell r="E36" t="str">
            <v>부채</v>
          </cell>
          <cell r="F36" t="str">
            <v>건축</v>
          </cell>
        </row>
        <row r="37">
          <cell r="A37">
            <v>23010</v>
          </cell>
          <cell r="B37" t="str">
            <v>기타수입</v>
          </cell>
          <cell r="C37" t="str">
            <v>차입금</v>
          </cell>
          <cell r="D37" t="str">
            <v>차입금(은행)</v>
          </cell>
          <cell r="E37" t="str">
            <v>부채</v>
          </cell>
          <cell r="F37" t="str">
            <v>건축</v>
          </cell>
        </row>
        <row r="38">
          <cell r="A38">
            <v>23020</v>
          </cell>
          <cell r="B38" t="str">
            <v>기타수입</v>
          </cell>
          <cell r="C38" t="str">
            <v>차입금</v>
          </cell>
          <cell r="D38" t="str">
            <v>차입금(사택담보)</v>
          </cell>
          <cell r="E38" t="str">
            <v>부채</v>
          </cell>
          <cell r="F38" t="str">
            <v>일반</v>
          </cell>
        </row>
        <row r="39">
          <cell r="A39">
            <v>23030</v>
          </cell>
          <cell r="B39" t="str">
            <v>기타수입</v>
          </cell>
          <cell r="C39" t="str">
            <v>차입금</v>
          </cell>
          <cell r="D39" t="str">
            <v>차입금(은행-마산교회대여용)</v>
          </cell>
          <cell r="E39" t="str">
            <v>부채</v>
          </cell>
          <cell r="F39" t="str">
            <v>건축</v>
          </cell>
        </row>
        <row r="40">
          <cell r="A40">
            <v>23100</v>
          </cell>
          <cell r="B40" t="str">
            <v>기타수입</v>
          </cell>
          <cell r="C40" t="str">
            <v>대여금회수</v>
          </cell>
          <cell r="D40"/>
          <cell r="E40" t="str">
            <v>자산</v>
          </cell>
          <cell r="F40" t="str">
            <v>일반</v>
          </cell>
        </row>
        <row r="41">
          <cell r="A41">
            <v>23110</v>
          </cell>
          <cell r="B41" t="str">
            <v>기타수입</v>
          </cell>
          <cell r="C41" t="str">
            <v>대여금회수</v>
          </cell>
          <cell r="D41" t="str">
            <v>지역교회(밀양교회)-대여금회수</v>
          </cell>
          <cell r="E41" t="str">
            <v>자산</v>
          </cell>
          <cell r="F41" t="str">
            <v>일반</v>
          </cell>
        </row>
        <row r="42">
          <cell r="A42">
            <v>23120</v>
          </cell>
          <cell r="B42" t="str">
            <v>기타수입</v>
          </cell>
          <cell r="C42" t="str">
            <v>대여금회수</v>
          </cell>
          <cell r="D42" t="str">
            <v>지역교회(마산교회)-대여금회수</v>
          </cell>
          <cell r="E42" t="str">
            <v>자산</v>
          </cell>
          <cell r="F42" t="str">
            <v>일반</v>
          </cell>
        </row>
        <row r="43">
          <cell r="A43">
            <v>23130</v>
          </cell>
          <cell r="B43" t="str">
            <v>기타수입</v>
          </cell>
          <cell r="C43" t="str">
            <v>대여금회수</v>
          </cell>
          <cell r="D43" t="str">
            <v>일반계정 -&gt; 건축계정으로 상환</v>
          </cell>
          <cell r="E43" t="str">
            <v>자산</v>
          </cell>
          <cell r="F43" t="str">
            <v>건축</v>
          </cell>
        </row>
        <row r="44">
          <cell r="A44">
            <v>23140</v>
          </cell>
          <cell r="B44" t="str">
            <v>기타수입</v>
          </cell>
          <cell r="C44" t="str">
            <v>대여금회수</v>
          </cell>
          <cell r="D44" t="str">
            <v>일반계정 -&gt; 사랑의헌금계정으로 상환</v>
          </cell>
          <cell r="E44" t="str">
            <v>자산</v>
          </cell>
          <cell r="F44" t="str">
            <v>사랑의 헌금</v>
          </cell>
        </row>
        <row r="45">
          <cell r="A45">
            <v>23150</v>
          </cell>
          <cell r="B45" t="str">
            <v>기타수입</v>
          </cell>
          <cell r="C45" t="str">
            <v>대여금회수</v>
          </cell>
          <cell r="D45" t="str">
            <v>건축계정 -&gt; 일반계정으로 상환</v>
          </cell>
          <cell r="E45" t="str">
            <v>자산</v>
          </cell>
          <cell r="F45" t="str">
            <v>일반</v>
          </cell>
        </row>
        <row r="46">
          <cell r="A46">
            <v>23160</v>
          </cell>
          <cell r="B46" t="str">
            <v>기타수입</v>
          </cell>
          <cell r="C46" t="str">
            <v>대여금회수</v>
          </cell>
          <cell r="D46" t="str">
            <v>건축계정 -&gt; 사랑의헌금계정으로 상환</v>
          </cell>
          <cell r="E46" t="str">
            <v>자산</v>
          </cell>
          <cell r="F46" t="str">
            <v>사랑의 헌금</v>
          </cell>
        </row>
        <row r="47">
          <cell r="A47">
            <v>23170</v>
          </cell>
          <cell r="B47" t="str">
            <v>기타수입</v>
          </cell>
          <cell r="C47" t="str">
            <v>대여금회수</v>
          </cell>
          <cell r="D47" t="str">
            <v>사랑의헌금계정 -&gt; 일반계정으로 상환</v>
          </cell>
          <cell r="E47" t="str">
            <v>자산</v>
          </cell>
          <cell r="F47" t="str">
            <v>일반</v>
          </cell>
        </row>
        <row r="48">
          <cell r="A48">
            <v>23180</v>
          </cell>
          <cell r="B48" t="str">
            <v>기타수입</v>
          </cell>
          <cell r="C48" t="str">
            <v>대여금회수</v>
          </cell>
          <cell r="D48" t="str">
            <v>사랑의헌금계정 -&gt; 건축계정으로 상환</v>
          </cell>
          <cell r="E48" t="str">
            <v>자산</v>
          </cell>
          <cell r="F48" t="str">
            <v>건축</v>
          </cell>
        </row>
        <row r="49">
          <cell r="A49">
            <v>23700</v>
          </cell>
          <cell r="B49" t="str">
            <v>기타수입</v>
          </cell>
          <cell r="C49" t="str">
            <v>전무자퇴직금적립</v>
          </cell>
          <cell r="D49" t="str">
            <v>교회직원및전도인</v>
          </cell>
          <cell r="E49" t="str">
            <v>자산</v>
          </cell>
          <cell r="F49" t="str">
            <v>일반</v>
          </cell>
        </row>
        <row r="50">
          <cell r="A50">
            <v>24100</v>
          </cell>
          <cell r="B50" t="str">
            <v>기타수입</v>
          </cell>
          <cell r="C50" t="str">
            <v>방송실수입</v>
          </cell>
          <cell r="D50"/>
          <cell r="E50" t="str">
            <v>수입</v>
          </cell>
          <cell r="F50" t="str">
            <v>일반</v>
          </cell>
        </row>
        <row r="51">
          <cell r="A51">
            <v>24200</v>
          </cell>
          <cell r="B51" t="str">
            <v>기타수입</v>
          </cell>
          <cell r="C51" t="str">
            <v>서적부수입</v>
          </cell>
          <cell r="D51"/>
          <cell r="E51" t="str">
            <v>수입</v>
          </cell>
          <cell r="F51" t="str">
            <v>일반</v>
          </cell>
        </row>
        <row r="52">
          <cell r="A52">
            <v>24210</v>
          </cell>
          <cell r="B52" t="str">
            <v>기타수입</v>
          </cell>
          <cell r="C52" t="str">
            <v>서적부수입</v>
          </cell>
          <cell r="D52" t="str">
            <v>달력대금</v>
          </cell>
          <cell r="E52" t="str">
            <v>수입</v>
          </cell>
          <cell r="F52" t="str">
            <v>일반</v>
          </cell>
        </row>
        <row r="53">
          <cell r="A53">
            <v>24220</v>
          </cell>
          <cell r="B53" t="str">
            <v>기타수입</v>
          </cell>
          <cell r="C53" t="str">
            <v>서적부수입</v>
          </cell>
          <cell r="D53" t="str">
            <v>다이어리대금</v>
          </cell>
          <cell r="E53" t="str">
            <v>수입</v>
          </cell>
          <cell r="F53" t="str">
            <v>일반</v>
          </cell>
        </row>
        <row r="54">
          <cell r="A54">
            <v>24300</v>
          </cell>
          <cell r="B54" t="str">
            <v>기타수입</v>
          </cell>
          <cell r="C54" t="str">
            <v>미선부수입</v>
          </cell>
          <cell r="D54"/>
          <cell r="E54" t="str">
            <v>수입</v>
          </cell>
          <cell r="F54" t="str">
            <v>일반</v>
          </cell>
        </row>
        <row r="55">
          <cell r="A55">
            <v>24310</v>
          </cell>
          <cell r="B55" t="str">
            <v>기타수입</v>
          </cell>
          <cell r="C55" t="str">
            <v>미선부수입</v>
          </cell>
          <cell r="D55" t="str">
            <v>사진촬영</v>
          </cell>
          <cell r="E55" t="str">
            <v>수입</v>
          </cell>
          <cell r="F55" t="str">
            <v>일반</v>
          </cell>
        </row>
        <row r="56">
          <cell r="A56">
            <v>24400</v>
          </cell>
          <cell r="B56" t="str">
            <v>기타수입</v>
          </cell>
          <cell r="C56" t="str">
            <v>자판기판매수입</v>
          </cell>
          <cell r="D56"/>
          <cell r="E56" t="str">
            <v>수입</v>
          </cell>
          <cell r="F56" t="str">
            <v>일반</v>
          </cell>
        </row>
        <row r="57">
          <cell r="A57">
            <v>24500</v>
          </cell>
          <cell r="B57" t="str">
            <v>기타수입</v>
          </cell>
          <cell r="C57" t="str">
            <v>매점수입</v>
          </cell>
          <cell r="D57" t="str">
            <v>카페퀘존</v>
          </cell>
          <cell r="E57" t="str">
            <v>수입</v>
          </cell>
          <cell r="F57" t="str">
            <v>일반</v>
          </cell>
        </row>
        <row r="58">
          <cell r="A58">
            <v>24600</v>
          </cell>
          <cell r="B58" t="str">
            <v>기타수입</v>
          </cell>
          <cell r="C58" t="str">
            <v>잡수입</v>
          </cell>
          <cell r="D58"/>
          <cell r="E58" t="str">
            <v>수입</v>
          </cell>
          <cell r="F58" t="str">
            <v>일반</v>
          </cell>
        </row>
        <row r="59">
          <cell r="A59">
            <v>24620</v>
          </cell>
          <cell r="B59" t="str">
            <v>기타수입</v>
          </cell>
          <cell r="C59" t="str">
            <v>회장단식사찬조</v>
          </cell>
          <cell r="D59" t="str">
            <v>회장단식사찬조</v>
          </cell>
          <cell r="E59" t="str">
            <v>수입</v>
          </cell>
          <cell r="F59" t="str">
            <v>일반</v>
          </cell>
        </row>
        <row r="60">
          <cell r="A60">
            <v>24700</v>
          </cell>
          <cell r="B60" t="str">
            <v>기타수입</v>
          </cell>
          <cell r="C60" t="str">
            <v>이자수입</v>
          </cell>
          <cell r="D60" t="str">
            <v>은행</v>
          </cell>
          <cell r="E60" t="str">
            <v>수입</v>
          </cell>
          <cell r="F60" t="str">
            <v>일반</v>
          </cell>
        </row>
        <row r="61">
          <cell r="A61">
            <v>24710</v>
          </cell>
          <cell r="B61" t="str">
            <v>기타수입</v>
          </cell>
          <cell r="C61" t="str">
            <v>이자수입</v>
          </cell>
          <cell r="D61" t="str">
            <v>은행(일반계정)</v>
          </cell>
          <cell r="E61" t="str">
            <v>수입</v>
          </cell>
          <cell r="F61" t="str">
            <v>일반</v>
          </cell>
        </row>
        <row r="62">
          <cell r="A62">
            <v>24720</v>
          </cell>
          <cell r="B62" t="str">
            <v>기타수입</v>
          </cell>
          <cell r="C62" t="str">
            <v>이자수입</v>
          </cell>
          <cell r="D62" t="str">
            <v>은행(건축계정)</v>
          </cell>
          <cell r="E62" t="str">
            <v>수입</v>
          </cell>
          <cell r="F62" t="str">
            <v>건축</v>
          </cell>
        </row>
        <row r="63">
          <cell r="A63">
            <v>24730</v>
          </cell>
          <cell r="B63" t="str">
            <v>기타수입</v>
          </cell>
          <cell r="C63" t="str">
            <v>이자수입</v>
          </cell>
          <cell r="D63" t="str">
            <v>은행(사랑의헌금)</v>
          </cell>
          <cell r="E63" t="str">
            <v>수입</v>
          </cell>
          <cell r="F63" t="str">
            <v>사랑의 헌금</v>
          </cell>
        </row>
        <row r="64">
          <cell r="A64">
            <v>24800</v>
          </cell>
          <cell r="B64" t="str">
            <v>기타수입</v>
          </cell>
          <cell r="C64" t="str">
            <v>예비비환입금</v>
          </cell>
          <cell r="D64" t="str">
            <v>교회사무실 예비비 (50만원)</v>
          </cell>
          <cell r="E64" t="str">
            <v>자산</v>
          </cell>
          <cell r="F64" t="str">
            <v>일반</v>
          </cell>
        </row>
        <row r="65">
          <cell r="A65">
            <v>25000</v>
          </cell>
          <cell r="B65" t="str">
            <v>기타수입</v>
          </cell>
          <cell r="C65" t="str">
            <v>버스차비</v>
          </cell>
          <cell r="D65"/>
          <cell r="E65" t="str">
            <v>수입</v>
          </cell>
          <cell r="F65" t="str">
            <v>일반</v>
          </cell>
        </row>
        <row r="66">
          <cell r="A66">
            <v>25010</v>
          </cell>
          <cell r="B66" t="str">
            <v>기타수입</v>
          </cell>
          <cell r="C66" t="str">
            <v>버스차비</v>
          </cell>
          <cell r="D66" t="str">
            <v>교회</v>
          </cell>
          <cell r="E66" t="str">
            <v>수입</v>
          </cell>
          <cell r="F66" t="str">
            <v>일반</v>
          </cell>
        </row>
        <row r="67">
          <cell r="A67">
            <v>25020</v>
          </cell>
          <cell r="B67" t="str">
            <v>기타수입</v>
          </cell>
          <cell r="C67" t="str">
            <v>버스차비</v>
          </cell>
          <cell r="D67" t="str">
            <v>청년회</v>
          </cell>
          <cell r="E67" t="str">
            <v>수입</v>
          </cell>
          <cell r="F67" t="str">
            <v>일반</v>
          </cell>
        </row>
        <row r="68">
          <cell r="A68">
            <v>25030</v>
          </cell>
          <cell r="B68" t="str">
            <v>기타수입</v>
          </cell>
          <cell r="C68" t="str">
            <v>버스차비</v>
          </cell>
          <cell r="D68" t="str">
            <v>중고등부</v>
          </cell>
          <cell r="E68" t="str">
            <v>수입</v>
          </cell>
          <cell r="F68" t="str">
            <v>일반</v>
          </cell>
        </row>
        <row r="69">
          <cell r="A69">
            <v>30000</v>
          </cell>
          <cell r="B69" t="str">
            <v>이체오류</v>
          </cell>
          <cell r="C69" t="str">
            <v>이체오류수입</v>
          </cell>
          <cell r="D69" t="str">
            <v>이체오류</v>
          </cell>
          <cell r="E69" t="str">
            <v>수입</v>
          </cell>
          <cell r="F69"/>
        </row>
        <row r="70">
          <cell r="A70" t="str">
            <v>2. 지출계정</v>
          </cell>
          <cell r="B70"/>
          <cell r="C70"/>
          <cell r="D70"/>
          <cell r="E70"/>
          <cell r="F70" t="str">
            <v>작성일 : 2020년 2월 5일</v>
          </cell>
        </row>
        <row r="71">
          <cell r="A71" t="str">
            <v>계정코드</v>
          </cell>
          <cell r="B71" t="str">
            <v>대분류계정항목</v>
          </cell>
          <cell r="C71" t="str">
            <v>중분류계정항목</v>
          </cell>
          <cell r="D71" t="str">
            <v>세부계정항목(예산안)</v>
          </cell>
          <cell r="E71" t="str">
            <v>계정유형</v>
          </cell>
          <cell r="F71" t="str">
            <v>재정구분</v>
          </cell>
        </row>
        <row r="72">
          <cell r="A72">
            <v>31200</v>
          </cell>
          <cell r="B72" t="str">
            <v>총회비</v>
          </cell>
          <cell r="C72" t="str">
            <v>총회비</v>
          </cell>
          <cell r="D72" t="str">
            <v>총회비</v>
          </cell>
          <cell r="E72" t="str">
            <v>지출</v>
          </cell>
          <cell r="F72" t="str">
            <v>일반</v>
          </cell>
        </row>
        <row r="73">
          <cell r="A73">
            <v>31210</v>
          </cell>
          <cell r="B73" t="str">
            <v>총회비</v>
          </cell>
          <cell r="C73" t="str">
            <v>총회비</v>
          </cell>
          <cell r="D73" t="str">
            <v>퇴직 적립금</v>
          </cell>
          <cell r="E73" t="str">
            <v>지출</v>
          </cell>
          <cell r="F73" t="str">
            <v>일반</v>
          </cell>
        </row>
        <row r="74">
          <cell r="A74">
            <v>31300</v>
          </cell>
          <cell r="B74" t="str">
            <v>선교회비</v>
          </cell>
          <cell r="C74" t="str">
            <v>선교회비</v>
          </cell>
          <cell r="D74" t="str">
            <v>선교회비</v>
          </cell>
          <cell r="E74" t="str">
            <v>지출</v>
          </cell>
          <cell r="F74" t="str">
            <v>일반</v>
          </cell>
        </row>
        <row r="75">
          <cell r="A75">
            <v>31310</v>
          </cell>
          <cell r="B75" t="str">
            <v>미디어선교회비</v>
          </cell>
          <cell r="C75" t="str">
            <v>미디어선교회비</v>
          </cell>
          <cell r="D75" t="str">
            <v>미디어선교회비</v>
          </cell>
          <cell r="E75" t="str">
            <v>지출</v>
          </cell>
          <cell r="F75" t="str">
            <v>일반</v>
          </cell>
        </row>
        <row r="76">
          <cell r="A76">
            <v>31500</v>
          </cell>
          <cell r="B76" t="str">
            <v>사무&amp;비품</v>
          </cell>
          <cell r="C76" t="str">
            <v>사무&amp;비품</v>
          </cell>
          <cell r="D76" t="str">
            <v>교회사무실 사무용품</v>
          </cell>
          <cell r="E76" t="str">
            <v>지출</v>
          </cell>
          <cell r="F76" t="str">
            <v>일반</v>
          </cell>
        </row>
        <row r="77">
          <cell r="A77">
            <v>31510</v>
          </cell>
          <cell r="B77" t="str">
            <v>사무&amp;비품</v>
          </cell>
          <cell r="C77" t="str">
            <v>사무&amp;비품</v>
          </cell>
          <cell r="D77" t="str">
            <v>교회사무실 집기류</v>
          </cell>
          <cell r="E77" t="str">
            <v>지출</v>
          </cell>
          <cell r="F77" t="str">
            <v>일반</v>
          </cell>
        </row>
        <row r="78">
          <cell r="A78">
            <v>31520</v>
          </cell>
          <cell r="B78" t="str">
            <v>사무&amp;비품</v>
          </cell>
          <cell r="C78" t="str">
            <v>사무&amp;비품</v>
          </cell>
          <cell r="D78" t="str">
            <v>교회사무실 비치 의약품</v>
          </cell>
          <cell r="E78" t="str">
            <v>지출</v>
          </cell>
          <cell r="F78" t="str">
            <v>일반</v>
          </cell>
        </row>
        <row r="79">
          <cell r="A79">
            <v>31530</v>
          </cell>
          <cell r="B79" t="str">
            <v>사무&amp;비품</v>
          </cell>
          <cell r="C79" t="str">
            <v>사무&amp;비품</v>
          </cell>
          <cell r="D79" t="str">
            <v>손님 접대용 차, 음료류</v>
          </cell>
          <cell r="E79" t="str">
            <v>지출</v>
          </cell>
          <cell r="F79" t="str">
            <v>일반</v>
          </cell>
        </row>
        <row r="80">
          <cell r="A80">
            <v>31540</v>
          </cell>
          <cell r="B80" t="str">
            <v>사무&amp;비품</v>
          </cell>
          <cell r="C80" t="str">
            <v>사무&amp;비품</v>
          </cell>
          <cell r="D80" t="str">
            <v>자판기 관리지출</v>
          </cell>
          <cell r="E80" t="str">
            <v>지출</v>
          </cell>
          <cell r="F80" t="str">
            <v>일반</v>
          </cell>
        </row>
        <row r="81">
          <cell r="A81">
            <v>31599</v>
          </cell>
          <cell r="B81" t="str">
            <v>사무&amp;비품</v>
          </cell>
          <cell r="C81" t="str">
            <v>사무&amp;비품</v>
          </cell>
          <cell r="D81" t="str">
            <v>교회사무실 잡비</v>
          </cell>
          <cell r="E81" t="str">
            <v>지출</v>
          </cell>
          <cell r="F81" t="str">
            <v>일반</v>
          </cell>
        </row>
        <row r="82">
          <cell r="A82">
            <v>31600</v>
          </cell>
          <cell r="B82" t="str">
            <v>사무&amp;비품</v>
          </cell>
          <cell r="C82" t="str">
            <v>사무&amp;비품</v>
          </cell>
          <cell r="D82" t="str">
            <v>우편물 (택배등) - 우편통신비</v>
          </cell>
          <cell r="E82" t="str">
            <v>지출</v>
          </cell>
          <cell r="F82" t="str">
            <v>일반</v>
          </cell>
        </row>
        <row r="83">
          <cell r="A83">
            <v>31700</v>
          </cell>
          <cell r="B83" t="str">
            <v>사무&amp;비품</v>
          </cell>
          <cell r="C83" t="str">
            <v>사무&amp;비품</v>
          </cell>
          <cell r="D83" t="str">
            <v>교회사무실 복사기 렌탈비</v>
          </cell>
          <cell r="E83" t="str">
            <v>지출</v>
          </cell>
          <cell r="F83" t="str">
            <v>일반</v>
          </cell>
        </row>
        <row r="84">
          <cell r="A84">
            <v>31710</v>
          </cell>
          <cell r="B84" t="str">
            <v>사무&amp;비품</v>
          </cell>
          <cell r="C84" t="str">
            <v>사무&amp;비품</v>
          </cell>
          <cell r="D84" t="str">
            <v>복사용지 구입비</v>
          </cell>
          <cell r="E84" t="str">
            <v>지출</v>
          </cell>
          <cell r="F84" t="str">
            <v>일반</v>
          </cell>
        </row>
        <row r="85">
          <cell r="A85">
            <v>31720</v>
          </cell>
          <cell r="B85" t="str">
            <v>사무&amp;비품</v>
          </cell>
          <cell r="C85" t="str">
            <v>사무&amp;비품</v>
          </cell>
          <cell r="D85" t="str">
            <v>소식지 용지 구입비</v>
          </cell>
          <cell r="E85" t="str">
            <v>지출</v>
          </cell>
          <cell r="F85" t="str">
            <v>일반</v>
          </cell>
        </row>
        <row r="86">
          <cell r="A86">
            <v>31730</v>
          </cell>
          <cell r="B86" t="str">
            <v>사무&amp;비품</v>
          </cell>
          <cell r="C86" t="str">
            <v>사무&amp;비품</v>
          </cell>
          <cell r="D86" t="str">
            <v>공기청정기 렌탈</v>
          </cell>
          <cell r="E86" t="str">
            <v>지출</v>
          </cell>
          <cell r="F86" t="str">
            <v>일반</v>
          </cell>
        </row>
        <row r="87">
          <cell r="A87">
            <v>31800</v>
          </cell>
          <cell r="B87" t="str">
            <v>사무&amp;비품</v>
          </cell>
          <cell r="C87" t="str">
            <v>사무&amp;비품</v>
          </cell>
          <cell r="D87" t="str">
            <v>성도주소록 제작비</v>
          </cell>
          <cell r="E87" t="str">
            <v>지출</v>
          </cell>
          <cell r="F87" t="str">
            <v>일반</v>
          </cell>
        </row>
        <row r="88">
          <cell r="A88">
            <v>31900</v>
          </cell>
          <cell r="B88" t="str">
            <v>운영비</v>
          </cell>
          <cell r="C88" t="str">
            <v>운영비</v>
          </cell>
          <cell r="D88"/>
          <cell r="E88" t="str">
            <v>지출</v>
          </cell>
          <cell r="F88" t="str">
            <v>일반</v>
          </cell>
        </row>
        <row r="89">
          <cell r="A89">
            <v>31910</v>
          </cell>
          <cell r="B89" t="str">
            <v>운영비</v>
          </cell>
          <cell r="C89" t="str">
            <v>운영비</v>
          </cell>
          <cell r="D89" t="str">
            <v>전도인전도비</v>
          </cell>
          <cell r="E89" t="str">
            <v>지출</v>
          </cell>
          <cell r="F89" t="str">
            <v>일반</v>
          </cell>
        </row>
        <row r="90">
          <cell r="A90">
            <v>31920</v>
          </cell>
          <cell r="B90" t="str">
            <v>운영비</v>
          </cell>
          <cell r="C90" t="str">
            <v>운영비</v>
          </cell>
          <cell r="D90" t="str">
            <v>전무자(관리인) 월급 및 상여금</v>
          </cell>
          <cell r="E90" t="str">
            <v>지출</v>
          </cell>
          <cell r="F90" t="str">
            <v>일반</v>
          </cell>
        </row>
        <row r="91">
          <cell r="A91">
            <v>31930</v>
          </cell>
          <cell r="B91" t="str">
            <v>운영비</v>
          </cell>
          <cell r="C91" t="str">
            <v>운영비</v>
          </cell>
          <cell r="D91" t="str">
            <v>전무자(사무실) 월급 및 상여금</v>
          </cell>
          <cell r="E91" t="str">
            <v>지출</v>
          </cell>
          <cell r="F91" t="str">
            <v>일반</v>
          </cell>
        </row>
        <row r="92">
          <cell r="A92">
            <v>31940</v>
          </cell>
          <cell r="B92" t="str">
            <v>운영비</v>
          </cell>
          <cell r="C92" t="str">
            <v>운영비</v>
          </cell>
          <cell r="D92" t="str">
            <v>전도인복리후생비(수련회경비,하계휴가비)</v>
          </cell>
          <cell r="E92" t="str">
            <v>지출</v>
          </cell>
          <cell r="F92" t="str">
            <v>일반</v>
          </cell>
        </row>
        <row r="93">
          <cell r="A93">
            <v>31950</v>
          </cell>
          <cell r="B93" t="str">
            <v>운영비</v>
          </cell>
          <cell r="C93" t="str">
            <v>운영비</v>
          </cell>
          <cell r="D93" t="str">
            <v>전무자복리후생비(하계휴가비)</v>
          </cell>
          <cell r="E93" t="str">
            <v>지출</v>
          </cell>
          <cell r="F93" t="str">
            <v>일반</v>
          </cell>
        </row>
        <row r="94">
          <cell r="A94">
            <v>31951</v>
          </cell>
          <cell r="B94" t="str">
            <v>운영비</v>
          </cell>
          <cell r="C94" t="str">
            <v>복리후생비</v>
          </cell>
          <cell r="D94" t="str">
            <v>직원 식대비 (점심)/</v>
          </cell>
          <cell r="E94" t="str">
            <v>지출</v>
          </cell>
          <cell r="F94" t="str">
            <v>일반</v>
          </cell>
        </row>
        <row r="95">
          <cell r="A95">
            <v>31952</v>
          </cell>
          <cell r="B95" t="str">
            <v>운영비</v>
          </cell>
          <cell r="C95" t="str">
            <v>복리후생비</v>
          </cell>
          <cell r="D95" t="str">
            <v>전도인 상비품</v>
          </cell>
          <cell r="E95" t="str">
            <v>지출</v>
          </cell>
          <cell r="F95" t="str">
            <v>일반</v>
          </cell>
        </row>
        <row r="96">
          <cell r="A96">
            <v>31953</v>
          </cell>
          <cell r="B96" t="str">
            <v>운영비</v>
          </cell>
          <cell r="C96" t="str">
            <v>복리후생비</v>
          </cell>
          <cell r="D96" t="str">
            <v>전도인 지원금</v>
          </cell>
          <cell r="E96" t="str">
            <v xml:space="preserve">지출 </v>
          </cell>
          <cell r="F96" t="str">
            <v>일반</v>
          </cell>
        </row>
        <row r="97">
          <cell r="A97">
            <v>31960</v>
          </cell>
          <cell r="B97" t="str">
            <v>운영비</v>
          </cell>
          <cell r="C97" t="str">
            <v>운영비</v>
          </cell>
          <cell r="D97" t="str">
            <v>전도인 퇴직전별금</v>
          </cell>
          <cell r="E97" t="str">
            <v>지출</v>
          </cell>
          <cell r="F97" t="str">
            <v>일반</v>
          </cell>
        </row>
        <row r="98">
          <cell r="A98">
            <v>31970</v>
          </cell>
          <cell r="B98" t="str">
            <v>운영비</v>
          </cell>
          <cell r="C98" t="str">
            <v>운영비</v>
          </cell>
          <cell r="D98" t="str">
            <v>전무자 퇴직금</v>
          </cell>
          <cell r="E98" t="str">
            <v>지출</v>
          </cell>
          <cell r="F98" t="str">
            <v>일반</v>
          </cell>
        </row>
        <row r="99">
          <cell r="A99">
            <v>31980</v>
          </cell>
          <cell r="B99" t="str">
            <v>운영비</v>
          </cell>
          <cell r="C99" t="str">
            <v>운영비</v>
          </cell>
          <cell r="D99" t="str">
            <v>전도인전별금및전무자 퇴직적립금</v>
          </cell>
          <cell r="E99" t="str">
            <v>지출</v>
          </cell>
          <cell r="F99" t="str">
            <v>일반</v>
          </cell>
        </row>
        <row r="100">
          <cell r="A100">
            <v>31990</v>
          </cell>
          <cell r="B100" t="str">
            <v>운영비</v>
          </cell>
          <cell r="C100" t="str">
            <v>운영비</v>
          </cell>
          <cell r="D100" t="str">
            <v>담임목사님사택관리비</v>
          </cell>
          <cell r="E100" t="str">
            <v>지출</v>
          </cell>
          <cell r="F100" t="str">
            <v>일반</v>
          </cell>
        </row>
        <row r="101">
          <cell r="A101">
            <v>32000</v>
          </cell>
          <cell r="B101" t="str">
            <v>공과금</v>
          </cell>
          <cell r="C101" t="str">
            <v>공과금</v>
          </cell>
          <cell r="D101"/>
          <cell r="E101"/>
          <cell r="F101"/>
        </row>
        <row r="102">
          <cell r="A102">
            <v>32010</v>
          </cell>
          <cell r="B102" t="str">
            <v>공과금</v>
          </cell>
          <cell r="C102" t="str">
            <v>공과금</v>
          </cell>
          <cell r="D102" t="str">
            <v>전기요금</v>
          </cell>
          <cell r="E102" t="str">
            <v>지출</v>
          </cell>
          <cell r="F102" t="str">
            <v>일반</v>
          </cell>
        </row>
        <row r="103">
          <cell r="A103">
            <v>32020</v>
          </cell>
          <cell r="B103" t="str">
            <v>공과금</v>
          </cell>
          <cell r="C103" t="str">
            <v>공과금</v>
          </cell>
          <cell r="D103" t="str">
            <v>가스요금</v>
          </cell>
          <cell r="E103" t="str">
            <v>지출</v>
          </cell>
          <cell r="F103" t="str">
            <v>일반</v>
          </cell>
        </row>
        <row r="104">
          <cell r="A104">
            <v>32030</v>
          </cell>
          <cell r="B104" t="str">
            <v>공과금</v>
          </cell>
          <cell r="C104" t="str">
            <v>공과금</v>
          </cell>
          <cell r="D104" t="str">
            <v>상하수도 요금</v>
          </cell>
          <cell r="E104" t="str">
            <v>지출</v>
          </cell>
          <cell r="F104" t="str">
            <v>일반</v>
          </cell>
        </row>
        <row r="105">
          <cell r="A105">
            <v>32040</v>
          </cell>
          <cell r="B105" t="str">
            <v>공과금</v>
          </cell>
          <cell r="C105" t="str">
            <v>공과금</v>
          </cell>
          <cell r="D105" t="str">
            <v>지하수 이용부담금</v>
          </cell>
          <cell r="E105" t="str">
            <v>지출</v>
          </cell>
          <cell r="F105" t="str">
            <v>일반</v>
          </cell>
        </row>
        <row r="106">
          <cell r="A106">
            <v>32080</v>
          </cell>
          <cell r="B106" t="str">
            <v>공과금</v>
          </cell>
          <cell r="C106" t="str">
            <v>공과금</v>
          </cell>
          <cell r="D106" t="str">
            <v>재산세(대한@)</v>
          </cell>
          <cell r="E106" t="str">
            <v>지출</v>
          </cell>
          <cell r="F106" t="str">
            <v>일반</v>
          </cell>
        </row>
        <row r="107">
          <cell r="A107">
            <v>32090</v>
          </cell>
          <cell r="B107" t="str">
            <v>공과금</v>
          </cell>
          <cell r="C107" t="str">
            <v>공과금</v>
          </cell>
          <cell r="D107" t="str">
            <v xml:space="preserve">CJ헬로비젼 </v>
          </cell>
          <cell r="E107" t="str">
            <v>지출</v>
          </cell>
          <cell r="F107" t="str">
            <v>일반</v>
          </cell>
        </row>
        <row r="108">
          <cell r="A108">
            <v>32100</v>
          </cell>
          <cell r="B108" t="str">
            <v>공과금</v>
          </cell>
          <cell r="C108" t="str">
            <v>공과금</v>
          </cell>
          <cell r="D108" t="str">
            <v>KT전화요금</v>
          </cell>
          <cell r="E108" t="str">
            <v>지출</v>
          </cell>
          <cell r="F108" t="str">
            <v>일반</v>
          </cell>
        </row>
        <row r="109">
          <cell r="A109">
            <v>32110</v>
          </cell>
          <cell r="B109" t="str">
            <v>공과금</v>
          </cell>
          <cell r="C109" t="str">
            <v>공과금</v>
          </cell>
          <cell r="D109" t="str">
            <v>KT통신요금</v>
          </cell>
          <cell r="E109" t="str">
            <v>지출</v>
          </cell>
          <cell r="F109" t="str">
            <v>일반</v>
          </cell>
        </row>
        <row r="110">
          <cell r="A110">
            <v>32120</v>
          </cell>
          <cell r="B110" t="str">
            <v>공과금</v>
          </cell>
          <cell r="C110" t="str">
            <v>공과금</v>
          </cell>
          <cell r="D110" t="str">
            <v>LGU+ 인터넷 요금</v>
          </cell>
          <cell r="E110" t="str">
            <v>지출</v>
          </cell>
          <cell r="F110" t="str">
            <v>일반</v>
          </cell>
        </row>
        <row r="111">
          <cell r="A111">
            <v>32130</v>
          </cell>
          <cell r="B111" t="str">
            <v>공과금</v>
          </cell>
          <cell r="C111" t="str">
            <v>공과금</v>
          </cell>
          <cell r="D111" t="str">
            <v>삼성 SDS요금 2건</v>
          </cell>
          <cell r="E111" t="str">
            <v>지출</v>
          </cell>
          <cell r="F111" t="str">
            <v>일반</v>
          </cell>
        </row>
        <row r="112">
          <cell r="A112">
            <v>32140</v>
          </cell>
          <cell r="B112" t="str">
            <v>공과금</v>
          </cell>
          <cell r="C112" t="str">
            <v>공과금</v>
          </cell>
          <cell r="D112" t="str">
            <v>정수기 렌탈비</v>
          </cell>
          <cell r="E112" t="str">
            <v>지출</v>
          </cell>
          <cell r="F112" t="str">
            <v>일반</v>
          </cell>
        </row>
        <row r="113">
          <cell r="A113">
            <v>32200</v>
          </cell>
          <cell r="B113" t="str">
            <v>교회학교 후원회비</v>
          </cell>
          <cell r="C113" t="str">
            <v>교회학교 후원회비</v>
          </cell>
          <cell r="D113"/>
          <cell r="E113" t="str">
            <v>지출</v>
          </cell>
          <cell r="F113" t="str">
            <v>일반</v>
          </cell>
        </row>
        <row r="114">
          <cell r="A114">
            <v>32210</v>
          </cell>
          <cell r="B114" t="str">
            <v>교회학교 후원회비</v>
          </cell>
          <cell r="C114" t="str">
            <v>교회학교 후원회비</v>
          </cell>
          <cell r="D114" t="str">
            <v>유초등부 후원회비</v>
          </cell>
          <cell r="E114" t="str">
            <v>지출</v>
          </cell>
          <cell r="F114" t="str">
            <v>일반</v>
          </cell>
        </row>
        <row r="115">
          <cell r="A115">
            <v>32220</v>
          </cell>
          <cell r="B115" t="str">
            <v>교회학교 후원회비</v>
          </cell>
          <cell r="C115" t="str">
            <v>교회학교 후원회비</v>
          </cell>
          <cell r="D115" t="str">
            <v>중고등부 후원회비</v>
          </cell>
          <cell r="E115" t="str">
            <v>지출</v>
          </cell>
          <cell r="F115" t="str">
            <v>일반</v>
          </cell>
        </row>
        <row r="116">
          <cell r="A116">
            <v>32230</v>
          </cell>
          <cell r="B116" t="str">
            <v>교회학교 후원회비</v>
          </cell>
          <cell r="C116" t="str">
            <v>교회학교 후원회비</v>
          </cell>
          <cell r="D116" t="str">
            <v>유초등부 및 중고등부 통합후원회비</v>
          </cell>
          <cell r="E116" t="str">
            <v>지출</v>
          </cell>
          <cell r="F116" t="str">
            <v>일반</v>
          </cell>
        </row>
        <row r="117">
          <cell r="A117">
            <v>32400</v>
          </cell>
          <cell r="B117" t="str">
            <v>차량유지비</v>
          </cell>
          <cell r="C117" t="str">
            <v>차량유지비</v>
          </cell>
          <cell r="D117"/>
          <cell r="E117"/>
          <cell r="F117"/>
        </row>
        <row r="118">
          <cell r="A118">
            <v>32410</v>
          </cell>
          <cell r="B118" t="str">
            <v>차량유지비</v>
          </cell>
          <cell r="C118" t="str">
            <v>차량유지비</v>
          </cell>
          <cell r="D118" t="str">
            <v>2614 주유비</v>
          </cell>
          <cell r="E118" t="str">
            <v>지출</v>
          </cell>
          <cell r="F118" t="str">
            <v>일반</v>
          </cell>
        </row>
        <row r="119">
          <cell r="A119">
            <v>32420</v>
          </cell>
          <cell r="B119" t="str">
            <v>차량유지비</v>
          </cell>
          <cell r="C119" t="str">
            <v>차량유지비</v>
          </cell>
          <cell r="D119" t="str">
            <v>4137 주유비</v>
          </cell>
          <cell r="E119" t="str">
            <v>지출</v>
          </cell>
          <cell r="F119" t="str">
            <v>일반</v>
          </cell>
        </row>
        <row r="120">
          <cell r="A120">
            <v>32425</v>
          </cell>
          <cell r="B120" t="str">
            <v>차량유지비</v>
          </cell>
          <cell r="C120" t="str">
            <v>차량유지비</v>
          </cell>
          <cell r="D120" t="str">
            <v>4041 주유비</v>
          </cell>
          <cell r="E120" t="str">
            <v>지출</v>
          </cell>
          <cell r="F120" t="str">
            <v>일반</v>
          </cell>
        </row>
        <row r="121">
          <cell r="A121">
            <v>32430</v>
          </cell>
          <cell r="B121" t="str">
            <v>차량유지비</v>
          </cell>
          <cell r="C121" t="str">
            <v>차량유지비</v>
          </cell>
          <cell r="D121" t="str">
            <v>차량 검사 및 수리비</v>
          </cell>
          <cell r="E121"/>
          <cell r="F121"/>
        </row>
        <row r="122">
          <cell r="A122">
            <v>32431</v>
          </cell>
          <cell r="B122" t="str">
            <v>차량유지비</v>
          </cell>
          <cell r="C122" t="str">
            <v>차량유지비</v>
          </cell>
          <cell r="D122" t="str">
            <v>2614 정비, 검사 및 수리비</v>
          </cell>
          <cell r="E122" t="str">
            <v>지출</v>
          </cell>
          <cell r="F122" t="str">
            <v>일반</v>
          </cell>
        </row>
        <row r="123">
          <cell r="A123">
            <v>32432</v>
          </cell>
          <cell r="B123" t="str">
            <v>차량유지비</v>
          </cell>
          <cell r="C123" t="str">
            <v>차량유지비</v>
          </cell>
          <cell r="D123" t="str">
            <v>4137 정비, 검사 및 수리비</v>
          </cell>
          <cell r="E123" t="str">
            <v>지출</v>
          </cell>
          <cell r="F123" t="str">
            <v>일반</v>
          </cell>
        </row>
        <row r="124">
          <cell r="A124">
            <v>32433</v>
          </cell>
          <cell r="B124" t="str">
            <v>차량유지비</v>
          </cell>
          <cell r="C124" t="str">
            <v>차량유지비</v>
          </cell>
          <cell r="D124" t="str">
            <v>1402 정비 및 수리비</v>
          </cell>
          <cell r="E124" t="str">
            <v>지출</v>
          </cell>
          <cell r="F124" t="str">
            <v>일반</v>
          </cell>
        </row>
        <row r="125">
          <cell r="A125">
            <v>32434</v>
          </cell>
          <cell r="B125" t="str">
            <v>차량유지비</v>
          </cell>
          <cell r="C125" t="str">
            <v>차량유지비</v>
          </cell>
          <cell r="D125" t="str">
            <v>6401 정비 및 수리비</v>
          </cell>
          <cell r="E125" t="str">
            <v>지출</v>
          </cell>
          <cell r="F125" t="str">
            <v>일반</v>
          </cell>
        </row>
        <row r="126">
          <cell r="A126">
            <v>32440</v>
          </cell>
          <cell r="B126" t="str">
            <v>차량유지비</v>
          </cell>
          <cell r="C126" t="str">
            <v>차량유지비</v>
          </cell>
          <cell r="D126" t="str">
            <v>2614, 4137,4041자동차세</v>
          </cell>
          <cell r="E126" t="str">
            <v>지출</v>
          </cell>
          <cell r="F126" t="str">
            <v>일반</v>
          </cell>
        </row>
        <row r="127">
          <cell r="A127">
            <v>32450</v>
          </cell>
          <cell r="B127" t="str">
            <v>차량유지비</v>
          </cell>
          <cell r="C127" t="str">
            <v>차량유지비</v>
          </cell>
          <cell r="D127" t="str">
            <v>2614, 4137,4041 보험료</v>
          </cell>
          <cell r="E127" t="str">
            <v>지출</v>
          </cell>
          <cell r="F127" t="str">
            <v>일반</v>
          </cell>
        </row>
        <row r="128">
          <cell r="A128">
            <v>32460</v>
          </cell>
          <cell r="B128" t="str">
            <v>차량유지비</v>
          </cell>
          <cell r="C128" t="str">
            <v>차량유지비</v>
          </cell>
          <cell r="D128" t="str">
            <v>1402, 6401 자동차세, 보험료</v>
          </cell>
          <cell r="E128" t="str">
            <v>지출</v>
          </cell>
          <cell r="F128" t="str">
            <v>일반</v>
          </cell>
        </row>
        <row r="129">
          <cell r="A129">
            <v>32470</v>
          </cell>
          <cell r="B129" t="str">
            <v>차량유지비</v>
          </cell>
          <cell r="C129" t="str">
            <v>차량유지비</v>
          </cell>
          <cell r="D129" t="str">
            <v>2614, 4137,4041하이패스 충전료</v>
          </cell>
          <cell r="E129" t="str">
            <v>지출</v>
          </cell>
          <cell r="F129" t="str">
            <v>일반</v>
          </cell>
        </row>
        <row r="130">
          <cell r="A130">
            <v>32480</v>
          </cell>
          <cell r="B130" t="str">
            <v>차량유지비</v>
          </cell>
          <cell r="C130" t="str">
            <v>차량유지비</v>
          </cell>
          <cell r="D130" t="str">
            <v>2614, 4137,4041환경분담금</v>
          </cell>
          <cell r="E130" t="str">
            <v>지출</v>
          </cell>
          <cell r="F130" t="str">
            <v>일반</v>
          </cell>
        </row>
        <row r="131">
          <cell r="A131">
            <v>32490</v>
          </cell>
          <cell r="B131" t="str">
            <v>차량유지비</v>
          </cell>
          <cell r="C131" t="str">
            <v>차량유지비</v>
          </cell>
          <cell r="D131" t="str">
            <v>사무실자매님 주유비 (매월 30,000)</v>
          </cell>
          <cell r="E131" t="str">
            <v>지출</v>
          </cell>
          <cell r="F131" t="str">
            <v>일반</v>
          </cell>
        </row>
        <row r="132">
          <cell r="A132">
            <v>32499</v>
          </cell>
          <cell r="B132" t="str">
            <v>차량유지비</v>
          </cell>
          <cell r="C132" t="str">
            <v>차량유지비</v>
          </cell>
          <cell r="D132" t="str">
            <v>차량 기타비용</v>
          </cell>
          <cell r="E132" t="str">
            <v>지출</v>
          </cell>
          <cell r="F132" t="str">
            <v>일반</v>
          </cell>
        </row>
        <row r="133">
          <cell r="A133">
            <v>33000</v>
          </cell>
          <cell r="B133" t="str">
            <v>전도집회비</v>
          </cell>
          <cell r="C133" t="str">
            <v>전도집회비</v>
          </cell>
          <cell r="D133" t="str">
            <v>전도집회경비</v>
          </cell>
          <cell r="E133"/>
          <cell r="F133"/>
        </row>
        <row r="134">
          <cell r="A134">
            <v>33010</v>
          </cell>
          <cell r="B134" t="str">
            <v>전도집회비</v>
          </cell>
          <cell r="C134" t="str">
            <v>전도집회비</v>
          </cell>
          <cell r="D134" t="str">
            <v>전도집회 식대비</v>
          </cell>
          <cell r="E134" t="str">
            <v>지출</v>
          </cell>
          <cell r="F134" t="str">
            <v>일반</v>
          </cell>
        </row>
        <row r="135">
          <cell r="A135">
            <v>33020</v>
          </cell>
          <cell r="B135" t="str">
            <v>전도집회비</v>
          </cell>
          <cell r="C135" t="str">
            <v>전도집회비</v>
          </cell>
          <cell r="D135" t="str">
            <v>전도집회 강사료</v>
          </cell>
          <cell r="E135" t="str">
            <v>지출</v>
          </cell>
          <cell r="F135" t="str">
            <v>일반</v>
          </cell>
        </row>
        <row r="136">
          <cell r="A136">
            <v>33021</v>
          </cell>
          <cell r="B136" t="str">
            <v>전도집회비</v>
          </cell>
          <cell r="C136" t="str">
            <v>전도집회비</v>
          </cell>
          <cell r="D136" t="str">
            <v>소집회 강사료(외부강사) 교구, 낮전도집회</v>
          </cell>
          <cell r="E136" t="str">
            <v>지출</v>
          </cell>
          <cell r="F136" t="str">
            <v>일반</v>
          </cell>
        </row>
        <row r="137">
          <cell r="A137">
            <v>33022</v>
          </cell>
          <cell r="B137" t="str">
            <v>전도집회비</v>
          </cell>
          <cell r="C137" t="str">
            <v>전도집회비</v>
          </cell>
          <cell r="D137" t="str">
            <v>교회학교 전도집회(유초중고)</v>
          </cell>
          <cell r="E137" t="str">
            <v>지출</v>
          </cell>
          <cell r="F137" t="str">
            <v>일반</v>
          </cell>
        </row>
        <row r="138">
          <cell r="A138">
            <v>33023</v>
          </cell>
          <cell r="B138" t="str">
            <v>전도집회비</v>
          </cell>
          <cell r="C138" t="str">
            <v>전도집회비</v>
          </cell>
          <cell r="D138" t="str">
            <v>전도집회 특강 사례비</v>
          </cell>
          <cell r="E138" t="str">
            <v>지출</v>
          </cell>
          <cell r="F138" t="str">
            <v>일반</v>
          </cell>
        </row>
        <row r="139">
          <cell r="A139">
            <v>33030</v>
          </cell>
          <cell r="B139" t="str">
            <v>전도집회비</v>
          </cell>
          <cell r="C139" t="str">
            <v>전도집회비</v>
          </cell>
          <cell r="D139" t="str">
            <v>전도집회 강사 교통비</v>
          </cell>
          <cell r="E139" t="str">
            <v>지출</v>
          </cell>
          <cell r="F139" t="str">
            <v>일반</v>
          </cell>
        </row>
        <row r="140">
          <cell r="A140">
            <v>33040</v>
          </cell>
          <cell r="B140" t="str">
            <v>전도집회비</v>
          </cell>
          <cell r="C140" t="str">
            <v>전도집회비</v>
          </cell>
          <cell r="D140" t="str">
            <v>전도집회 강사 접대비</v>
          </cell>
          <cell r="E140" t="str">
            <v>지출</v>
          </cell>
          <cell r="F140" t="str">
            <v>일반</v>
          </cell>
        </row>
        <row r="141">
          <cell r="A141">
            <v>33050</v>
          </cell>
          <cell r="B141" t="str">
            <v>전도집회비</v>
          </cell>
          <cell r="C141" t="str">
            <v>전도집회비</v>
          </cell>
          <cell r="D141" t="str">
            <v>전도집회 잡비</v>
          </cell>
          <cell r="E141" t="str">
            <v>지출</v>
          </cell>
          <cell r="F141" t="str">
            <v>일반</v>
          </cell>
        </row>
        <row r="142">
          <cell r="A142">
            <v>33051</v>
          </cell>
          <cell r="B142" t="str">
            <v>전도집회비</v>
          </cell>
          <cell r="C142" t="str">
            <v>전도집회비</v>
          </cell>
          <cell r="D142" t="str">
            <v>전도집회 초대장, 포스터 제작비 (모든 전도집회)</v>
          </cell>
          <cell r="E142" t="str">
            <v>지출</v>
          </cell>
          <cell r="F142" t="str">
            <v>일반</v>
          </cell>
        </row>
        <row r="143">
          <cell r="A143">
            <v>33052</v>
          </cell>
          <cell r="B143" t="str">
            <v>전도집회비</v>
          </cell>
          <cell r="C143" t="str">
            <v>전도집회비</v>
          </cell>
          <cell r="D143" t="str">
            <v>전도집회 현수막 제작비</v>
          </cell>
          <cell r="E143" t="str">
            <v>지출</v>
          </cell>
          <cell r="F143" t="str">
            <v>일반</v>
          </cell>
        </row>
        <row r="144">
          <cell r="A144">
            <v>34000</v>
          </cell>
          <cell r="B144" t="str">
            <v>시설&amp;운영관리</v>
          </cell>
          <cell r="C144" t="str">
            <v>시설&amp;운영관리</v>
          </cell>
          <cell r="D144" t="str">
            <v>교회당 환경 개선&amp;유지비</v>
          </cell>
          <cell r="E144"/>
          <cell r="F144"/>
        </row>
        <row r="145">
          <cell r="A145">
            <v>34010</v>
          </cell>
          <cell r="B145" t="str">
            <v>시설&amp;운영관리</v>
          </cell>
          <cell r="C145" t="str">
            <v>시설&amp;운영관리</v>
          </cell>
          <cell r="D145" t="str">
            <v>교회당 환경 개선&amp;유지비 (조경관련)</v>
          </cell>
          <cell r="E145" t="str">
            <v>지출</v>
          </cell>
          <cell r="F145" t="str">
            <v>일반</v>
          </cell>
        </row>
        <row r="146">
          <cell r="A146">
            <v>34020</v>
          </cell>
          <cell r="B146" t="str">
            <v>시설&amp;운영관리</v>
          </cell>
          <cell r="C146" t="str">
            <v>시설&amp;운영관리</v>
          </cell>
          <cell r="D146" t="str">
            <v>교회당 환경 개선&amp;유지보수 자재비 (리모델링관련)</v>
          </cell>
          <cell r="E146" t="str">
            <v>지출</v>
          </cell>
          <cell r="F146" t="str">
            <v>일반</v>
          </cell>
        </row>
        <row r="147">
          <cell r="A147">
            <v>34030</v>
          </cell>
          <cell r="B147" t="str">
            <v>시설&amp;운영관리</v>
          </cell>
          <cell r="C147" t="str">
            <v>시설&amp;운영관리</v>
          </cell>
          <cell r="D147" t="str">
            <v>교회당 시설물 유지관리비(공구구입등)</v>
          </cell>
          <cell r="E147" t="str">
            <v>지출</v>
          </cell>
          <cell r="F147" t="str">
            <v>일반</v>
          </cell>
        </row>
        <row r="148">
          <cell r="A148">
            <v>34040</v>
          </cell>
          <cell r="B148" t="str">
            <v>시설&amp;운영관리</v>
          </cell>
          <cell r="C148" t="str">
            <v>시설&amp;운영관리</v>
          </cell>
          <cell r="D148" t="str">
            <v>교회당 유지 관련 비품 및 소모품</v>
          </cell>
          <cell r="E148" t="str">
            <v>지출</v>
          </cell>
          <cell r="F148" t="str">
            <v>일반</v>
          </cell>
        </row>
        <row r="149">
          <cell r="A149">
            <v>34050</v>
          </cell>
          <cell r="B149" t="str">
            <v>시설&amp;운영관리</v>
          </cell>
          <cell r="C149" t="str">
            <v>시설&amp;운영관리</v>
          </cell>
          <cell r="D149" t="str">
            <v>교회당 집기류</v>
          </cell>
          <cell r="E149" t="str">
            <v>지출</v>
          </cell>
          <cell r="F149" t="str">
            <v>일반</v>
          </cell>
        </row>
        <row r="150">
          <cell r="A150">
            <v>34060</v>
          </cell>
          <cell r="B150" t="str">
            <v>시설&amp;운영관리</v>
          </cell>
          <cell r="C150" t="str">
            <v>시설&amp;운영관리</v>
          </cell>
          <cell r="D150" t="str">
            <v>교회당 및 시설물의 잡비</v>
          </cell>
          <cell r="E150" t="str">
            <v>지출</v>
          </cell>
          <cell r="F150" t="str">
            <v>일반</v>
          </cell>
        </row>
        <row r="151">
          <cell r="A151">
            <v>34070</v>
          </cell>
          <cell r="B151" t="str">
            <v>시설&amp;운영관리</v>
          </cell>
          <cell r="C151" t="str">
            <v>시설&amp;운영관리</v>
          </cell>
          <cell r="D151" t="str">
            <v>교회당 화재보험료</v>
          </cell>
          <cell r="E151" t="str">
            <v>지출</v>
          </cell>
          <cell r="F151" t="str">
            <v>일반</v>
          </cell>
        </row>
        <row r="152">
          <cell r="A152">
            <v>34080</v>
          </cell>
          <cell r="B152" t="str">
            <v>시설&amp;운영관리</v>
          </cell>
          <cell r="C152" t="str">
            <v>시설&amp;운영관리</v>
          </cell>
          <cell r="D152" t="str">
            <v>시설물 점검, 검사료(전기점검 대금)</v>
          </cell>
          <cell r="E152" t="str">
            <v>지출</v>
          </cell>
          <cell r="F152" t="str">
            <v>일반</v>
          </cell>
        </row>
        <row r="153">
          <cell r="A153">
            <v>34100</v>
          </cell>
          <cell r="B153" t="str">
            <v>시설&amp;운영관리</v>
          </cell>
          <cell r="C153" t="str">
            <v>시설&amp;운영관리</v>
          </cell>
          <cell r="D153" t="str">
            <v>담임목사님 사택 유지보수비</v>
          </cell>
          <cell r="E153" t="str">
            <v>지출</v>
          </cell>
          <cell r="F153" t="str">
            <v>일반</v>
          </cell>
        </row>
        <row r="154">
          <cell r="A154">
            <v>34200</v>
          </cell>
          <cell r="B154" t="str">
            <v>시설&amp;운영관리</v>
          </cell>
          <cell r="C154" t="str">
            <v>시설&amp;운영관리</v>
          </cell>
          <cell r="D154" t="str">
            <v>강사숙소 비품</v>
          </cell>
          <cell r="E154" t="str">
            <v>지출</v>
          </cell>
          <cell r="F154" t="str">
            <v>일반</v>
          </cell>
        </row>
        <row r="155">
          <cell r="A155">
            <v>34300</v>
          </cell>
          <cell r="B155" t="str">
            <v>시설&amp;운영관리</v>
          </cell>
          <cell r="C155" t="str">
            <v>시설&amp;운영관리</v>
          </cell>
          <cell r="D155" t="str">
            <v>시설공사비 및 인건비</v>
          </cell>
          <cell r="E155" t="str">
            <v>지출</v>
          </cell>
          <cell r="F155" t="str">
            <v>일반</v>
          </cell>
        </row>
        <row r="156">
          <cell r="A156">
            <v>34310</v>
          </cell>
          <cell r="B156" t="str">
            <v>시설&amp;운영관리</v>
          </cell>
          <cell r="C156" t="str">
            <v>시설&amp;운영관리</v>
          </cell>
          <cell r="D156" t="str">
            <v>시설공사 간식 및 식사비(봉사자포함)</v>
          </cell>
          <cell r="E156" t="str">
            <v>지출</v>
          </cell>
          <cell r="F156" t="str">
            <v>일반</v>
          </cell>
        </row>
        <row r="157">
          <cell r="A157">
            <v>34500</v>
          </cell>
          <cell r="B157" t="str">
            <v>시설&amp;운영관리</v>
          </cell>
          <cell r="C157" t="str">
            <v>시설&amp;운영관리</v>
          </cell>
          <cell r="D157" t="str">
            <v>난방유 구입</v>
          </cell>
          <cell r="E157" t="str">
            <v>지출</v>
          </cell>
          <cell r="F157" t="str">
            <v>일반</v>
          </cell>
        </row>
        <row r="158">
          <cell r="A158">
            <v>34600</v>
          </cell>
          <cell r="B158" t="str">
            <v>시설&amp;운영관리</v>
          </cell>
          <cell r="C158" t="str">
            <v>시설&amp;운영관리</v>
          </cell>
          <cell r="D158" t="str">
            <v>정수기 종이컵</v>
          </cell>
          <cell r="E158" t="str">
            <v>지출</v>
          </cell>
          <cell r="F158" t="str">
            <v>일반</v>
          </cell>
        </row>
        <row r="159">
          <cell r="A159">
            <v>34700</v>
          </cell>
          <cell r="B159" t="str">
            <v>시설&amp;운영관리</v>
          </cell>
          <cell r="C159" t="str">
            <v>시설&amp;운영관리</v>
          </cell>
          <cell r="D159" t="str">
            <v>화장실 소모품(검정비닐봉지, 화장지)</v>
          </cell>
          <cell r="E159" t="str">
            <v>지출</v>
          </cell>
          <cell r="F159" t="str">
            <v>일반</v>
          </cell>
        </row>
        <row r="160">
          <cell r="A160">
            <v>34800</v>
          </cell>
          <cell r="B160" t="str">
            <v>시설&amp;운영관리</v>
          </cell>
          <cell r="C160" t="str">
            <v>시설&amp;운영관리</v>
          </cell>
          <cell r="D160" t="str">
            <v>종량제 쓰레기봉투, 음식쓰레기 칩, 폐품처리비,하얀비닐봉투</v>
          </cell>
          <cell r="E160" t="str">
            <v>지출</v>
          </cell>
          <cell r="F160" t="str">
            <v>일반</v>
          </cell>
        </row>
        <row r="161">
          <cell r="A161">
            <v>35000</v>
          </cell>
          <cell r="B161" t="str">
            <v>주일말씀</v>
          </cell>
          <cell r="C161" t="str">
            <v>주일말씀</v>
          </cell>
          <cell r="D161" t="str">
            <v>외부강사 주일말씀</v>
          </cell>
          <cell r="E161"/>
          <cell r="F161"/>
        </row>
        <row r="162">
          <cell r="A162">
            <v>35010</v>
          </cell>
          <cell r="B162" t="str">
            <v>주일말씀</v>
          </cell>
          <cell r="C162" t="str">
            <v>주일말씀</v>
          </cell>
          <cell r="D162" t="str">
            <v>외부전도인 사례비</v>
          </cell>
          <cell r="E162" t="str">
            <v>지출</v>
          </cell>
          <cell r="F162" t="str">
            <v>일반</v>
          </cell>
        </row>
        <row r="163">
          <cell r="A163">
            <v>35020</v>
          </cell>
          <cell r="B163" t="str">
            <v>주일말씀</v>
          </cell>
          <cell r="C163" t="str">
            <v>주일말씀</v>
          </cell>
          <cell r="D163" t="str">
            <v>외부전도인 차비</v>
          </cell>
          <cell r="E163" t="str">
            <v>지출</v>
          </cell>
          <cell r="F163" t="str">
            <v>일반</v>
          </cell>
        </row>
        <row r="164">
          <cell r="A164">
            <v>35030</v>
          </cell>
          <cell r="B164" t="str">
            <v>주일말씀</v>
          </cell>
          <cell r="C164" t="str">
            <v>주일말씀</v>
          </cell>
          <cell r="D164" t="str">
            <v>외부전도인 유류대</v>
          </cell>
          <cell r="E164" t="str">
            <v>지출</v>
          </cell>
          <cell r="F164" t="str">
            <v>일반</v>
          </cell>
        </row>
        <row r="165">
          <cell r="A165">
            <v>35040</v>
          </cell>
          <cell r="B165" t="str">
            <v>주일말씀</v>
          </cell>
          <cell r="C165" t="str">
            <v>주일말씀</v>
          </cell>
          <cell r="D165" t="str">
            <v>외부전도인 식사비</v>
          </cell>
          <cell r="E165" t="str">
            <v>지출</v>
          </cell>
          <cell r="F165" t="str">
            <v>일반</v>
          </cell>
        </row>
        <row r="166">
          <cell r="A166">
            <v>35100</v>
          </cell>
          <cell r="B166" t="str">
            <v>주일말씀</v>
          </cell>
          <cell r="C166" t="str">
            <v>주일말씀</v>
          </cell>
          <cell r="D166" t="str">
            <v>후원교회 선교사님 방문 경비</v>
          </cell>
          <cell r="E166" t="str">
            <v>지출</v>
          </cell>
          <cell r="F166" t="str">
            <v>일반</v>
          </cell>
        </row>
        <row r="167">
          <cell r="A167">
            <v>41000</v>
          </cell>
          <cell r="B167" t="str">
            <v>해외교회선교헌금</v>
          </cell>
          <cell r="C167" t="str">
            <v>해외교회선교헌금</v>
          </cell>
          <cell r="D167"/>
          <cell r="E167"/>
          <cell r="F167"/>
        </row>
        <row r="168">
          <cell r="A168">
            <v>41100</v>
          </cell>
          <cell r="B168" t="str">
            <v>세계선교헌금</v>
          </cell>
          <cell r="C168" t="str">
            <v>세계선교헌금</v>
          </cell>
          <cell r="D168" t="str">
            <v>세계선교헌금</v>
          </cell>
          <cell r="E168" t="str">
            <v>지출</v>
          </cell>
          <cell r="F168" t="str">
            <v>일반</v>
          </cell>
        </row>
        <row r="169">
          <cell r="A169">
            <v>41200</v>
          </cell>
          <cell r="B169" t="str">
            <v>세계선교분담금</v>
          </cell>
          <cell r="C169" t="str">
            <v>세계선교분담금</v>
          </cell>
          <cell r="D169" t="str">
            <v>세계선교분담금</v>
          </cell>
          <cell r="E169" t="str">
            <v>지출</v>
          </cell>
          <cell r="F169" t="str">
            <v>일반</v>
          </cell>
        </row>
        <row r="170">
          <cell r="A170">
            <v>41210</v>
          </cell>
          <cell r="B170" t="str">
            <v>필리핀 퀘존 선교회비</v>
          </cell>
          <cell r="C170" t="str">
            <v>필리핀 퀘존 선교회비</v>
          </cell>
          <cell r="D170" t="str">
            <v>필리핀 퀘존 지원비(물품구입등)</v>
          </cell>
          <cell r="E170" t="str">
            <v>지출</v>
          </cell>
          <cell r="F170" t="str">
            <v>일반</v>
          </cell>
        </row>
        <row r="171">
          <cell r="A171">
            <v>41300</v>
          </cell>
          <cell r="B171" t="str">
            <v>타교회헌금</v>
          </cell>
          <cell r="C171" t="str">
            <v>타교회헌금</v>
          </cell>
          <cell r="D171" t="str">
            <v>국내교회입당헌금</v>
          </cell>
          <cell r="E171" t="str">
            <v>지출</v>
          </cell>
          <cell r="F171" t="str">
            <v>일반</v>
          </cell>
        </row>
        <row r="172">
          <cell r="A172">
            <v>41310</v>
          </cell>
          <cell r="B172" t="str">
            <v>타교회헌금</v>
          </cell>
          <cell r="C172" t="str">
            <v>타교회헌금</v>
          </cell>
          <cell r="D172" t="str">
            <v>국내교회집회헌금</v>
          </cell>
          <cell r="E172" t="str">
            <v>지출</v>
          </cell>
          <cell r="F172" t="str">
            <v>일반</v>
          </cell>
        </row>
        <row r="173">
          <cell r="A173">
            <v>41400</v>
          </cell>
          <cell r="B173" t="str">
            <v>타교회헌금</v>
          </cell>
          <cell r="C173" t="str">
            <v>타교회헌금</v>
          </cell>
          <cell r="D173" t="str">
            <v>해외교회입당헌금</v>
          </cell>
          <cell r="E173" t="str">
            <v>지출</v>
          </cell>
          <cell r="F173" t="str">
            <v>일반</v>
          </cell>
        </row>
        <row r="174">
          <cell r="A174">
            <v>41500</v>
          </cell>
          <cell r="B174" t="str">
            <v>타교회헌금</v>
          </cell>
          <cell r="C174" t="str">
            <v>타교회헌금</v>
          </cell>
          <cell r="D174" t="str">
            <v>지역교회지원헌금</v>
          </cell>
          <cell r="E174" t="str">
            <v>지출</v>
          </cell>
          <cell r="F174" t="str">
            <v>일반</v>
          </cell>
        </row>
        <row r="175">
          <cell r="A175">
            <v>41510</v>
          </cell>
          <cell r="B175" t="str">
            <v>타교회헌금</v>
          </cell>
          <cell r="C175" t="str">
            <v>타교회헌금</v>
          </cell>
          <cell r="D175" t="str">
            <v>해외교회지원헌금</v>
          </cell>
          <cell r="E175" t="str">
            <v>지출</v>
          </cell>
          <cell r="F175" t="str">
            <v>일반</v>
          </cell>
        </row>
        <row r="176">
          <cell r="A176">
            <v>42100</v>
          </cell>
          <cell r="B176" t="str">
            <v>봉사부서</v>
          </cell>
          <cell r="C176" t="str">
            <v>각 부서</v>
          </cell>
          <cell r="D176" t="str">
            <v>부서지출</v>
          </cell>
          <cell r="E176"/>
          <cell r="F176"/>
        </row>
        <row r="177">
          <cell r="A177">
            <v>42110</v>
          </cell>
          <cell r="B177" t="str">
            <v>봉사부서</v>
          </cell>
          <cell r="C177" t="str">
            <v>미선부</v>
          </cell>
          <cell r="D177" t="str">
            <v>미선부</v>
          </cell>
          <cell r="E177" t="str">
            <v>지출</v>
          </cell>
          <cell r="F177" t="str">
            <v>일반</v>
          </cell>
        </row>
        <row r="178">
          <cell r="A178">
            <v>42120</v>
          </cell>
          <cell r="B178" t="str">
            <v>봉사부서</v>
          </cell>
          <cell r="C178" t="str">
            <v>방송실</v>
          </cell>
          <cell r="D178" t="str">
            <v>방송실</v>
          </cell>
          <cell r="E178" t="str">
            <v>지출</v>
          </cell>
          <cell r="F178" t="str">
            <v>일반</v>
          </cell>
        </row>
        <row r="179">
          <cell r="A179">
            <v>42130</v>
          </cell>
          <cell r="B179" t="str">
            <v>봉사부서</v>
          </cell>
          <cell r="C179" t="str">
            <v>서적부 (달력대금, 다이어리 대금 등)</v>
          </cell>
          <cell r="D179" t="str">
            <v>서적부 (달력대금, 다이어리 대금 등)</v>
          </cell>
          <cell r="E179" t="str">
            <v>지출</v>
          </cell>
          <cell r="F179" t="str">
            <v>일반</v>
          </cell>
        </row>
        <row r="180">
          <cell r="A180">
            <v>42140</v>
          </cell>
          <cell r="B180" t="str">
            <v>봉사부서</v>
          </cell>
          <cell r="C180" t="str">
            <v>해외선교부</v>
          </cell>
          <cell r="D180" t="str">
            <v>해외선교부</v>
          </cell>
          <cell r="E180" t="str">
            <v>지출</v>
          </cell>
          <cell r="F180" t="str">
            <v>일반</v>
          </cell>
        </row>
        <row r="181">
          <cell r="A181">
            <v>42150</v>
          </cell>
          <cell r="B181" t="str">
            <v>봉사부서</v>
          </cell>
          <cell r="C181" t="str">
            <v>농선부</v>
          </cell>
          <cell r="D181" t="str">
            <v>농선부</v>
          </cell>
          <cell r="E181" t="str">
            <v>지출</v>
          </cell>
          <cell r="F181" t="str">
            <v>일반</v>
          </cell>
        </row>
        <row r="182">
          <cell r="A182">
            <v>42160</v>
          </cell>
          <cell r="B182" t="str">
            <v>봉사부서</v>
          </cell>
          <cell r="C182" t="str">
            <v>친교부(갈릴리학교)</v>
          </cell>
          <cell r="D182" t="str">
            <v>친교부(갈릴리학교)</v>
          </cell>
          <cell r="E182" t="str">
            <v>지출</v>
          </cell>
          <cell r="F182" t="str">
            <v>일반</v>
          </cell>
        </row>
        <row r="183">
          <cell r="A183">
            <v>42170</v>
          </cell>
          <cell r="B183" t="str">
            <v>봉사부서</v>
          </cell>
          <cell r="C183" t="str">
            <v>찬양대</v>
          </cell>
          <cell r="D183" t="str">
            <v>찬양대</v>
          </cell>
          <cell r="E183" t="str">
            <v>지출</v>
          </cell>
          <cell r="F183" t="str">
            <v>일반</v>
          </cell>
        </row>
        <row r="184">
          <cell r="A184">
            <v>42180</v>
          </cell>
          <cell r="B184" t="str">
            <v>봉사부서</v>
          </cell>
          <cell r="C184" t="str">
            <v>교회학교 유초등부</v>
          </cell>
          <cell r="D184" t="str">
            <v>교회학교 유초등부</v>
          </cell>
          <cell r="E184" t="str">
            <v>지출</v>
          </cell>
          <cell r="F184" t="str">
            <v>일반</v>
          </cell>
        </row>
        <row r="185">
          <cell r="A185">
            <v>42190</v>
          </cell>
          <cell r="B185" t="str">
            <v>봉사부서</v>
          </cell>
          <cell r="C185" t="str">
            <v>교회학교 중고등부</v>
          </cell>
          <cell r="D185" t="str">
            <v>교회학교 중고등부</v>
          </cell>
          <cell r="E185" t="str">
            <v>지출</v>
          </cell>
          <cell r="F185" t="str">
            <v>일반</v>
          </cell>
        </row>
        <row r="186">
          <cell r="A186">
            <v>42200</v>
          </cell>
          <cell r="B186" t="str">
            <v>봉사부서</v>
          </cell>
          <cell r="C186" t="str">
            <v>교회 회계</v>
          </cell>
          <cell r="D186" t="str">
            <v>교회 회계</v>
          </cell>
          <cell r="E186" t="str">
            <v>지출</v>
          </cell>
          <cell r="F186" t="str">
            <v>일반</v>
          </cell>
        </row>
        <row r="187">
          <cell r="A187">
            <v>35110</v>
          </cell>
          <cell r="B187" t="str">
            <v>기타</v>
          </cell>
          <cell r="C187" t="str">
            <v>기타</v>
          </cell>
          <cell r="D187" t="str">
            <v>선교사님 방문 여비 및 지원금</v>
          </cell>
          <cell r="E187" t="str">
            <v>지출</v>
          </cell>
          <cell r="F187" t="str">
            <v>일반</v>
          </cell>
        </row>
        <row r="188">
          <cell r="A188">
            <v>45000</v>
          </cell>
          <cell r="B188" t="str">
            <v>해외후원교회</v>
          </cell>
          <cell r="C188" t="str">
            <v>해외후원교회</v>
          </cell>
          <cell r="D188"/>
          <cell r="E188" t="str">
            <v>지출</v>
          </cell>
          <cell r="F188" t="str">
            <v>일반</v>
          </cell>
        </row>
        <row r="189">
          <cell r="A189">
            <v>45100</v>
          </cell>
          <cell r="B189" t="str">
            <v>해외후원교회</v>
          </cell>
          <cell r="C189" t="str">
            <v>필리핀 퀘존권역</v>
          </cell>
          <cell r="D189" t="str">
            <v>필리핀 퀘존권역</v>
          </cell>
          <cell r="E189" t="str">
            <v>지출</v>
          </cell>
          <cell r="F189" t="str">
            <v>일반</v>
          </cell>
        </row>
        <row r="190">
          <cell r="A190">
            <v>45200</v>
          </cell>
          <cell r="B190" t="str">
            <v>해외후원교회</v>
          </cell>
          <cell r="C190" t="str">
            <v>아르헨티나 권역</v>
          </cell>
          <cell r="D190" t="str">
            <v>아르헨티나 권역</v>
          </cell>
          <cell r="E190" t="str">
            <v>지출</v>
          </cell>
          <cell r="F190" t="str">
            <v>일반</v>
          </cell>
        </row>
        <row r="191">
          <cell r="A191">
            <v>45900</v>
          </cell>
          <cell r="B191" t="str">
            <v>국내후원교회</v>
          </cell>
          <cell r="C191" t="str">
            <v>국내교회후원</v>
          </cell>
          <cell r="D191" t="str">
            <v>고성교회 후원</v>
          </cell>
          <cell r="E191" t="str">
            <v>지출</v>
          </cell>
          <cell r="F191" t="str">
            <v>일반</v>
          </cell>
        </row>
        <row r="192">
          <cell r="A192">
            <v>45910</v>
          </cell>
          <cell r="B192" t="str">
            <v>국내후원교회</v>
          </cell>
          <cell r="C192" t="str">
            <v>기타</v>
          </cell>
          <cell r="D192" t="str">
            <v>국내선교</v>
          </cell>
          <cell r="E192" t="str">
            <v>지출</v>
          </cell>
          <cell r="F192" t="str">
            <v>일반</v>
          </cell>
        </row>
        <row r="193">
          <cell r="A193">
            <v>51000</v>
          </cell>
          <cell r="B193" t="str">
            <v>기타</v>
          </cell>
          <cell r="C193" t="str">
            <v>기타</v>
          </cell>
          <cell r="D193" t="str">
            <v>사무실 예비비용(주당 50만원)</v>
          </cell>
          <cell r="E193" t="str">
            <v>지출</v>
          </cell>
          <cell r="F193" t="str">
            <v>일반</v>
          </cell>
        </row>
        <row r="194">
          <cell r="A194">
            <v>51100</v>
          </cell>
          <cell r="B194" t="str">
            <v>기타</v>
          </cell>
          <cell r="C194" t="str">
            <v>기타</v>
          </cell>
          <cell r="D194" t="str">
            <v>수련회 관련비용</v>
          </cell>
          <cell r="E194" t="str">
            <v>지출</v>
          </cell>
          <cell r="F194" t="str">
            <v>일반</v>
          </cell>
        </row>
        <row r="195">
          <cell r="A195">
            <v>51110</v>
          </cell>
          <cell r="B195" t="str">
            <v>기타</v>
          </cell>
          <cell r="C195" t="str">
            <v>기타</v>
          </cell>
          <cell r="D195" t="str">
            <v>춘계 관련 비용</v>
          </cell>
          <cell r="E195" t="str">
            <v>지출</v>
          </cell>
          <cell r="F195" t="str">
            <v>일반</v>
          </cell>
        </row>
        <row r="196">
          <cell r="A196">
            <v>51120</v>
          </cell>
          <cell r="B196" t="str">
            <v>기타</v>
          </cell>
          <cell r="C196" t="str">
            <v>기타</v>
          </cell>
          <cell r="D196" t="str">
            <v>하계수양회 관련 비용</v>
          </cell>
          <cell r="E196" t="str">
            <v>지출</v>
          </cell>
          <cell r="F196" t="str">
            <v>일반</v>
          </cell>
        </row>
        <row r="197">
          <cell r="A197">
            <v>51130</v>
          </cell>
          <cell r="B197" t="str">
            <v>기타</v>
          </cell>
          <cell r="C197" t="str">
            <v>기타</v>
          </cell>
          <cell r="D197" t="str">
            <v>추계수양회 관련 비용</v>
          </cell>
          <cell r="E197" t="str">
            <v>지출</v>
          </cell>
          <cell r="F197" t="str">
            <v>일반</v>
          </cell>
        </row>
        <row r="198">
          <cell r="A198">
            <v>51140</v>
          </cell>
          <cell r="B198" t="str">
            <v>기타</v>
          </cell>
          <cell r="C198" t="str">
            <v>기타</v>
          </cell>
          <cell r="D198" t="str">
            <v>동계 관련 비용</v>
          </cell>
          <cell r="E198" t="str">
            <v>지출</v>
          </cell>
          <cell r="F198" t="str">
            <v>일반</v>
          </cell>
        </row>
        <row r="199">
          <cell r="A199">
            <v>51150</v>
          </cell>
          <cell r="B199" t="str">
            <v>기타</v>
          </cell>
          <cell r="C199" t="str">
            <v>기타</v>
          </cell>
          <cell r="D199" t="str">
            <v>교회 전체 임원 수련회 및 모임 관련 비용</v>
          </cell>
          <cell r="E199" t="str">
            <v>지출</v>
          </cell>
          <cell r="F199" t="str">
            <v>일반</v>
          </cell>
        </row>
        <row r="200">
          <cell r="A200">
            <v>51200</v>
          </cell>
          <cell r="B200" t="str">
            <v>기타</v>
          </cell>
          <cell r="C200" t="str">
            <v>기타</v>
          </cell>
          <cell r="D200" t="str">
            <v>회별 관련 기타비용</v>
          </cell>
          <cell r="E200" t="str">
            <v>지출</v>
          </cell>
          <cell r="F200" t="str">
            <v>일반</v>
          </cell>
        </row>
        <row r="201">
          <cell r="A201">
            <v>51210</v>
          </cell>
          <cell r="B201" t="str">
            <v>기타</v>
          </cell>
          <cell r="C201" t="str">
            <v>기타</v>
          </cell>
          <cell r="D201" t="str">
            <v>미선부 관련 기타 비용</v>
          </cell>
          <cell r="E201" t="str">
            <v>지출</v>
          </cell>
          <cell r="F201" t="str">
            <v>일반</v>
          </cell>
        </row>
        <row r="202">
          <cell r="A202">
            <v>51220</v>
          </cell>
          <cell r="B202" t="str">
            <v>기타</v>
          </cell>
          <cell r="C202" t="str">
            <v>기타</v>
          </cell>
          <cell r="D202" t="str">
            <v>방송실 관련 기타 비용</v>
          </cell>
          <cell r="E202" t="str">
            <v>지출</v>
          </cell>
          <cell r="F202" t="str">
            <v>일반</v>
          </cell>
        </row>
        <row r="203">
          <cell r="A203">
            <v>51230</v>
          </cell>
          <cell r="B203" t="str">
            <v>기타</v>
          </cell>
          <cell r="C203" t="str">
            <v>기타</v>
          </cell>
          <cell r="D203" t="str">
            <v>농선부 관련 기타 비용</v>
          </cell>
          <cell r="E203" t="str">
            <v>지출</v>
          </cell>
          <cell r="F203" t="str">
            <v>일반</v>
          </cell>
        </row>
        <row r="204">
          <cell r="A204">
            <v>51235</v>
          </cell>
          <cell r="B204" t="str">
            <v>기타</v>
          </cell>
          <cell r="C204" t="str">
            <v>기타</v>
          </cell>
          <cell r="D204" t="str">
            <v>은장회 관련 비용</v>
          </cell>
          <cell r="E204" t="str">
            <v>지출</v>
          </cell>
          <cell r="F204" t="str">
            <v>일반</v>
          </cell>
        </row>
        <row r="205">
          <cell r="A205">
            <v>51240</v>
          </cell>
          <cell r="B205" t="str">
            <v>기타</v>
          </cell>
          <cell r="C205" t="str">
            <v>기타</v>
          </cell>
          <cell r="D205" t="str">
            <v>청년회 관련 비용</v>
          </cell>
          <cell r="E205" t="str">
            <v>지출</v>
          </cell>
          <cell r="F205" t="str">
            <v>일반</v>
          </cell>
        </row>
        <row r="206">
          <cell r="A206">
            <v>51250</v>
          </cell>
          <cell r="B206" t="str">
            <v>기타</v>
          </cell>
          <cell r="C206" t="str">
            <v>기타</v>
          </cell>
          <cell r="D206" t="str">
            <v>구역 관련 비용</v>
          </cell>
          <cell r="E206" t="str">
            <v>지출</v>
          </cell>
          <cell r="F206" t="str">
            <v>일반</v>
          </cell>
        </row>
        <row r="207">
          <cell r="A207">
            <v>51300</v>
          </cell>
          <cell r="B207" t="str">
            <v>기타</v>
          </cell>
          <cell r="C207" t="str">
            <v>기타</v>
          </cell>
          <cell r="D207" t="str">
            <v>주변 유지 명절 선물 비용 (마을, 오뚜기등)</v>
          </cell>
          <cell r="E207" t="str">
            <v>지출</v>
          </cell>
          <cell r="F207" t="str">
            <v>일반</v>
          </cell>
        </row>
        <row r="208">
          <cell r="A208">
            <v>51400</v>
          </cell>
          <cell r="B208" t="str">
            <v>기타</v>
          </cell>
          <cell r="C208" t="str">
            <v>기타</v>
          </cell>
          <cell r="D208" t="str">
            <v>교회행사(야외교제등)</v>
          </cell>
          <cell r="E208" t="str">
            <v>지출</v>
          </cell>
          <cell r="F208" t="str">
            <v>일반</v>
          </cell>
        </row>
        <row r="209">
          <cell r="A209">
            <v>51500</v>
          </cell>
          <cell r="B209" t="str">
            <v>기타</v>
          </cell>
          <cell r="C209" t="str">
            <v>기타</v>
          </cell>
          <cell r="D209" t="str">
            <v>기타 잡비</v>
          </cell>
          <cell r="E209" t="str">
            <v>지출</v>
          </cell>
          <cell r="F209" t="str">
            <v>일반</v>
          </cell>
        </row>
        <row r="210">
          <cell r="A210">
            <v>51510</v>
          </cell>
          <cell r="B210" t="str">
            <v>기타</v>
          </cell>
          <cell r="C210" t="str">
            <v>기타</v>
          </cell>
          <cell r="D210" t="str">
            <v>회별, 부서별 반환금</v>
          </cell>
          <cell r="E210" t="str">
            <v>지출</v>
          </cell>
          <cell r="F210" t="str">
            <v>일반</v>
          </cell>
        </row>
        <row r="211">
          <cell r="A211">
            <v>51520</v>
          </cell>
          <cell r="B211" t="str">
            <v>기타</v>
          </cell>
          <cell r="C211" t="str">
            <v>기타</v>
          </cell>
          <cell r="D211" t="str">
            <v>갈릴리 수양관 건축 분담금</v>
          </cell>
          <cell r="E211" t="str">
            <v>지출</v>
          </cell>
          <cell r="F211" t="str">
            <v>일반</v>
          </cell>
        </row>
        <row r="212">
          <cell r="A212">
            <v>51600</v>
          </cell>
          <cell r="B212" t="str">
            <v>기타</v>
          </cell>
          <cell r="C212" t="str">
            <v>기타</v>
          </cell>
          <cell r="D212" t="str">
            <v>타계정 대여금</v>
          </cell>
          <cell r="E212" t="str">
            <v>지출</v>
          </cell>
          <cell r="F212" t="str">
            <v>일반</v>
          </cell>
        </row>
        <row r="213">
          <cell r="A213">
            <v>51610</v>
          </cell>
          <cell r="B213" t="str">
            <v>기타</v>
          </cell>
          <cell r="C213" t="str">
            <v>기타</v>
          </cell>
          <cell r="D213" t="str">
            <v>일반 -&gt; 건축  대여</v>
          </cell>
          <cell r="E213" t="str">
            <v>지출</v>
          </cell>
          <cell r="F213" t="str">
            <v>일반</v>
          </cell>
        </row>
        <row r="214">
          <cell r="A214">
            <v>51620</v>
          </cell>
          <cell r="B214" t="str">
            <v>기타</v>
          </cell>
          <cell r="C214" t="str">
            <v>기타</v>
          </cell>
          <cell r="D214" t="str">
            <v>일반 -&gt; 사랑의 헌금 대여</v>
          </cell>
          <cell r="E214" t="str">
            <v>지출</v>
          </cell>
          <cell r="F214" t="str">
            <v>일반</v>
          </cell>
        </row>
        <row r="215">
          <cell r="A215">
            <v>51630</v>
          </cell>
          <cell r="B215" t="str">
            <v>기타</v>
          </cell>
          <cell r="C215" t="str">
            <v>기타</v>
          </cell>
          <cell r="D215" t="str">
            <v>일반 -&gt; 건축 상환</v>
          </cell>
          <cell r="E215" t="str">
            <v xml:space="preserve">지출 </v>
          </cell>
          <cell r="F215" t="str">
            <v>일반</v>
          </cell>
        </row>
        <row r="216">
          <cell r="A216">
            <v>51640</v>
          </cell>
          <cell r="B216" t="str">
            <v>기타</v>
          </cell>
          <cell r="C216" t="str">
            <v>기타</v>
          </cell>
          <cell r="D216" t="str">
            <v>일반 -&gt; 교회학교 대여</v>
          </cell>
          <cell r="E216" t="str">
            <v xml:space="preserve">지출 </v>
          </cell>
          <cell r="F216" t="str">
            <v>일반</v>
          </cell>
        </row>
        <row r="217">
          <cell r="A217">
            <v>51650</v>
          </cell>
          <cell r="B217" t="str">
            <v>기타</v>
          </cell>
          <cell r="C217" t="str">
            <v>기타</v>
          </cell>
          <cell r="D217" t="str">
            <v>병원 심방비</v>
          </cell>
          <cell r="E217" t="str">
            <v>지출</v>
          </cell>
          <cell r="F217" t="str">
            <v>일반</v>
          </cell>
        </row>
        <row r="218">
          <cell r="A218">
            <v>51700</v>
          </cell>
          <cell r="B218" t="str">
            <v>기타</v>
          </cell>
          <cell r="C218" t="str">
            <v>기타</v>
          </cell>
          <cell r="D218" t="str">
            <v>필리핀 퀘존 심방여비(담임목사내외분)</v>
          </cell>
          <cell r="E218" t="str">
            <v>지출</v>
          </cell>
          <cell r="F218" t="str">
            <v>일반</v>
          </cell>
        </row>
        <row r="219">
          <cell r="A219">
            <v>51710</v>
          </cell>
          <cell r="B219" t="str">
            <v>기타</v>
          </cell>
          <cell r="C219" t="str">
            <v>기타</v>
          </cell>
          <cell r="D219" t="str">
            <v>아르헨티나 심방여비(담임목사내외분)</v>
          </cell>
          <cell r="E219" t="str">
            <v>지출</v>
          </cell>
          <cell r="F219" t="str">
            <v>일반</v>
          </cell>
        </row>
        <row r="220">
          <cell r="A220">
            <v>99990</v>
          </cell>
          <cell r="B220" t="str">
            <v>예비비</v>
          </cell>
          <cell r="C220" t="str">
            <v>예비비</v>
          </cell>
          <cell r="D220" t="str">
            <v>일반 예비비</v>
          </cell>
          <cell r="E220" t="str">
            <v>지출</v>
          </cell>
          <cell r="F220" t="str">
            <v>일반</v>
          </cell>
        </row>
        <row r="221">
          <cell r="A221">
            <v>60000</v>
          </cell>
          <cell r="B221" t="str">
            <v>건축</v>
          </cell>
          <cell r="C221" t="str">
            <v>건축</v>
          </cell>
          <cell r="D221" t="str">
            <v>건축관련</v>
          </cell>
          <cell r="E221"/>
          <cell r="F221"/>
        </row>
        <row r="222">
          <cell r="A222">
            <v>60100</v>
          </cell>
          <cell r="B222" t="str">
            <v>건축</v>
          </cell>
          <cell r="C222" t="str">
            <v>건축</v>
          </cell>
          <cell r="D222" t="str">
            <v>대출금 원금상환</v>
          </cell>
          <cell r="E222" t="str">
            <v>지출</v>
          </cell>
          <cell r="F222" t="str">
            <v>건축</v>
          </cell>
        </row>
        <row r="223">
          <cell r="A223">
            <v>60200</v>
          </cell>
          <cell r="B223" t="str">
            <v>건축</v>
          </cell>
          <cell r="C223" t="str">
            <v>건축</v>
          </cell>
          <cell r="D223" t="str">
            <v>대출금 상환수수료</v>
          </cell>
          <cell r="E223" t="str">
            <v>지출</v>
          </cell>
          <cell r="F223" t="str">
            <v>건축</v>
          </cell>
        </row>
        <row r="224">
          <cell r="A224">
            <v>60300</v>
          </cell>
          <cell r="B224" t="str">
            <v>건축</v>
          </cell>
          <cell r="C224" t="str">
            <v>건축</v>
          </cell>
          <cell r="D224" t="str">
            <v>대출이자</v>
          </cell>
          <cell r="E224" t="str">
            <v>지출</v>
          </cell>
          <cell r="F224" t="str">
            <v>건축</v>
          </cell>
        </row>
        <row r="225">
          <cell r="A225">
            <v>60400</v>
          </cell>
          <cell r="B225" t="str">
            <v>건축</v>
          </cell>
          <cell r="C225" t="str">
            <v>건축</v>
          </cell>
          <cell r="D225" t="str">
            <v>소망관 건축 분담금</v>
          </cell>
          <cell r="E225" t="str">
            <v>지출</v>
          </cell>
          <cell r="F225" t="str">
            <v>건축</v>
          </cell>
        </row>
        <row r="226">
          <cell r="A226">
            <v>60500</v>
          </cell>
          <cell r="B226" t="str">
            <v>건축</v>
          </cell>
          <cell r="C226" t="str">
            <v>건축</v>
          </cell>
          <cell r="D226" t="str">
            <v>필리핀 퀘존 건축 지원금</v>
          </cell>
          <cell r="E226" t="str">
            <v>지출</v>
          </cell>
          <cell r="F226" t="str">
            <v>건축</v>
          </cell>
        </row>
        <row r="227">
          <cell r="A227">
            <v>61000</v>
          </cell>
          <cell r="B227" t="str">
            <v>건축</v>
          </cell>
          <cell r="C227" t="str">
            <v>대여금</v>
          </cell>
          <cell r="D227" t="str">
            <v>타계정 대여금</v>
          </cell>
          <cell r="E227" t="str">
            <v>지출</v>
          </cell>
          <cell r="F227" t="str">
            <v>건축</v>
          </cell>
        </row>
        <row r="228">
          <cell r="A228">
            <v>61010</v>
          </cell>
          <cell r="B228" t="str">
            <v>건축</v>
          </cell>
          <cell r="C228" t="str">
            <v>건축</v>
          </cell>
          <cell r="D228" t="str">
            <v>건축 -&gt; 일반 대여</v>
          </cell>
          <cell r="E228" t="str">
            <v>지출</v>
          </cell>
          <cell r="F228" t="str">
            <v>건축</v>
          </cell>
        </row>
        <row r="229">
          <cell r="A229">
            <v>61020</v>
          </cell>
          <cell r="B229" t="str">
            <v>건축</v>
          </cell>
          <cell r="C229" t="str">
            <v>건축</v>
          </cell>
          <cell r="D229" t="str">
            <v>건축 -&gt; 사랑의 헌금 대여</v>
          </cell>
          <cell r="E229" t="str">
            <v>지출</v>
          </cell>
          <cell r="F229" t="str">
            <v>건축</v>
          </cell>
        </row>
        <row r="230">
          <cell r="A230">
            <v>61030</v>
          </cell>
          <cell r="B230" t="str">
            <v>건축</v>
          </cell>
          <cell r="C230" t="str">
            <v>건축</v>
          </cell>
          <cell r="D230" t="str">
            <v>건축 -&gt; 일반 상환</v>
          </cell>
          <cell r="E230" t="str">
            <v>지출</v>
          </cell>
          <cell r="F230" t="str">
            <v>건축</v>
          </cell>
        </row>
        <row r="231">
          <cell r="A231">
            <v>62000</v>
          </cell>
          <cell r="B231" t="str">
            <v>건축</v>
          </cell>
          <cell r="C231" t="str">
            <v>건축</v>
          </cell>
          <cell r="D231" t="str">
            <v>중장비관련</v>
          </cell>
          <cell r="E231" t="str">
            <v>지출</v>
          </cell>
          <cell r="F231" t="str">
            <v>건축</v>
          </cell>
        </row>
        <row r="232">
          <cell r="A232">
            <v>62100</v>
          </cell>
          <cell r="B232" t="str">
            <v>건축</v>
          </cell>
          <cell r="C232" t="str">
            <v>건축</v>
          </cell>
          <cell r="D232" t="str">
            <v>토지구입</v>
          </cell>
          <cell r="E232" t="str">
            <v>지출</v>
          </cell>
          <cell r="F232" t="str">
            <v>건축</v>
          </cell>
        </row>
        <row r="233">
          <cell r="A233">
            <v>62200</v>
          </cell>
          <cell r="B233" t="str">
            <v>건축</v>
          </cell>
          <cell r="C233" t="str">
            <v>건축</v>
          </cell>
          <cell r="D233" t="str">
            <v>건축</v>
          </cell>
          <cell r="E233" t="str">
            <v>지출</v>
          </cell>
          <cell r="F233" t="str">
            <v>건축</v>
          </cell>
        </row>
        <row r="234">
          <cell r="A234">
            <v>62300</v>
          </cell>
          <cell r="B234" t="str">
            <v>건축</v>
          </cell>
          <cell r="C234" t="str">
            <v>건축</v>
          </cell>
          <cell r="D234" t="str">
            <v>인테리어</v>
          </cell>
          <cell r="E234" t="str">
            <v>지출</v>
          </cell>
          <cell r="F234" t="str">
            <v>건축</v>
          </cell>
        </row>
        <row r="235">
          <cell r="A235">
            <v>62400</v>
          </cell>
          <cell r="B235" t="str">
            <v>건축</v>
          </cell>
          <cell r="C235" t="str">
            <v>건축</v>
          </cell>
          <cell r="D235" t="str">
            <v>농지 보전 분담금</v>
          </cell>
          <cell r="E235" t="str">
            <v>지출</v>
          </cell>
          <cell r="F235" t="str">
            <v>건축</v>
          </cell>
        </row>
        <row r="236">
          <cell r="A236">
            <v>62500</v>
          </cell>
          <cell r="B236" t="str">
            <v>건축</v>
          </cell>
          <cell r="C236" t="str">
            <v>건축</v>
          </cell>
          <cell r="D236" t="str">
            <v>토지구입 기타 잡비</v>
          </cell>
          <cell r="E236" t="str">
            <v>지출</v>
          </cell>
          <cell r="F236" t="str">
            <v>건축</v>
          </cell>
        </row>
        <row r="237">
          <cell r="A237">
            <v>62600</v>
          </cell>
          <cell r="B237" t="str">
            <v>건축</v>
          </cell>
          <cell r="C237" t="str">
            <v>건축</v>
          </cell>
          <cell r="D237" t="str">
            <v>매입부지 개발 관련</v>
          </cell>
          <cell r="E237" t="str">
            <v>지출</v>
          </cell>
          <cell r="F237" t="str">
            <v>건축</v>
          </cell>
        </row>
        <row r="238">
          <cell r="A238">
            <v>62700</v>
          </cell>
          <cell r="B238" t="str">
            <v>건축</v>
          </cell>
          <cell r="C238" t="str">
            <v>건축</v>
          </cell>
          <cell r="D238" t="str">
            <v>유수지 개발 관련</v>
          </cell>
          <cell r="E238" t="str">
            <v>지출</v>
          </cell>
          <cell r="F238" t="str">
            <v>건축</v>
          </cell>
        </row>
        <row r="239">
          <cell r="A239">
            <v>62800</v>
          </cell>
          <cell r="B239" t="str">
            <v>건축</v>
          </cell>
          <cell r="C239" t="str">
            <v>건축</v>
          </cell>
          <cell r="D239" t="str">
            <v>기타 부대 비용</v>
          </cell>
          <cell r="E239" t="str">
            <v>지출</v>
          </cell>
          <cell r="F239" t="str">
            <v>건축</v>
          </cell>
        </row>
        <row r="240">
          <cell r="A240">
            <v>62900</v>
          </cell>
          <cell r="B240" t="str">
            <v xml:space="preserve">승강기 </v>
          </cell>
          <cell r="C240" t="str">
            <v>승강기헌금</v>
          </cell>
          <cell r="D240" t="str">
            <v>승강기 관련 비용</v>
          </cell>
          <cell r="E240" t="str">
            <v>지출</v>
          </cell>
          <cell r="F240" t="str">
            <v>건축</v>
          </cell>
        </row>
        <row r="241">
          <cell r="A241">
            <v>63000</v>
          </cell>
          <cell r="B241" t="str">
            <v>건축</v>
          </cell>
          <cell r="C241" t="str">
            <v>스타리아</v>
          </cell>
          <cell r="D241" t="str">
            <v>스타리아 관련 비용</v>
          </cell>
          <cell r="E241" t="str">
            <v>지출</v>
          </cell>
          <cell r="F241" t="str">
            <v>건축</v>
          </cell>
        </row>
        <row r="242">
          <cell r="A242">
            <v>70000</v>
          </cell>
          <cell r="B242" t="str">
            <v>사랑의헌금</v>
          </cell>
          <cell r="C242" t="str">
            <v>전도지원비</v>
          </cell>
          <cell r="D242"/>
          <cell r="E242" t="str">
            <v>지출</v>
          </cell>
          <cell r="F242" t="str">
            <v>사랑의 헌금</v>
          </cell>
        </row>
        <row r="243">
          <cell r="A243">
            <v>70010</v>
          </cell>
          <cell r="B243" t="str">
            <v>사랑의헌금</v>
          </cell>
          <cell r="C243" t="str">
            <v>기타</v>
          </cell>
          <cell r="D243"/>
          <cell r="E243" t="str">
            <v>지출</v>
          </cell>
          <cell r="F243" t="str">
            <v>사랑의 헌금</v>
          </cell>
        </row>
        <row r="244">
          <cell r="A244">
            <v>70100</v>
          </cell>
          <cell r="B244" t="str">
            <v>사랑의헌금</v>
          </cell>
          <cell r="C244" t="str">
            <v>전도지원비</v>
          </cell>
          <cell r="D244" t="str">
            <v>하계수양회 새신자 지원금 (회비)</v>
          </cell>
          <cell r="E244" t="str">
            <v>지출</v>
          </cell>
          <cell r="F244" t="str">
            <v>사랑의 헌금</v>
          </cell>
        </row>
        <row r="245">
          <cell r="A245">
            <v>70110</v>
          </cell>
          <cell r="B245" t="str">
            <v>사랑의헌금</v>
          </cell>
          <cell r="C245" t="str">
            <v>전도지원비</v>
          </cell>
          <cell r="D245" t="str">
            <v>하계수양회 새신자 지원금 (차비)</v>
          </cell>
          <cell r="E245" t="str">
            <v>지출</v>
          </cell>
          <cell r="F245" t="str">
            <v>사랑의 헌금</v>
          </cell>
        </row>
        <row r="246">
          <cell r="A246">
            <v>70200</v>
          </cell>
          <cell r="B246" t="str">
            <v>사랑의헌금</v>
          </cell>
          <cell r="C246" t="str">
            <v>전도지원비</v>
          </cell>
          <cell r="D246" t="str">
            <v>춘계수양회 새신자 지원금 (회비)</v>
          </cell>
          <cell r="E246" t="str">
            <v>지출</v>
          </cell>
          <cell r="F246" t="str">
            <v>사랑의 헌금</v>
          </cell>
        </row>
        <row r="247">
          <cell r="A247">
            <v>70210</v>
          </cell>
          <cell r="B247" t="str">
            <v>사랑의헌금</v>
          </cell>
          <cell r="C247" t="str">
            <v>전도지원비</v>
          </cell>
          <cell r="D247" t="str">
            <v>춘계수양회 새신자 지원금 (차비)</v>
          </cell>
          <cell r="E247" t="str">
            <v>지출</v>
          </cell>
          <cell r="F247" t="str">
            <v>사랑의 헌금</v>
          </cell>
        </row>
        <row r="248">
          <cell r="A248">
            <v>70300</v>
          </cell>
          <cell r="B248" t="str">
            <v>사랑의헌금</v>
          </cell>
          <cell r="C248" t="str">
            <v>전도지원비</v>
          </cell>
          <cell r="D248" t="str">
            <v>추계수양회 새신자 지원금 (회비)</v>
          </cell>
          <cell r="E248" t="str">
            <v>지출</v>
          </cell>
          <cell r="F248" t="str">
            <v>사랑의 헌금</v>
          </cell>
        </row>
        <row r="249">
          <cell r="A249">
            <v>70310</v>
          </cell>
          <cell r="B249" t="str">
            <v>사랑의헌금</v>
          </cell>
          <cell r="C249" t="str">
            <v>전도지원비</v>
          </cell>
          <cell r="D249" t="str">
            <v>추계수양회 새신자 지원금 (차비)</v>
          </cell>
          <cell r="E249" t="str">
            <v>지출</v>
          </cell>
          <cell r="F249" t="str">
            <v>사랑의 헌금</v>
          </cell>
        </row>
        <row r="250">
          <cell r="A250">
            <v>70400</v>
          </cell>
          <cell r="B250" t="str">
            <v>사랑의헌금</v>
          </cell>
          <cell r="C250" t="str">
            <v>조의금</v>
          </cell>
          <cell r="D250" t="str">
            <v>장례 조의금</v>
          </cell>
          <cell r="E250" t="str">
            <v>지출</v>
          </cell>
          <cell r="F250" t="str">
            <v>사랑의 헌금</v>
          </cell>
        </row>
        <row r="251">
          <cell r="A251">
            <v>70410</v>
          </cell>
          <cell r="B251" t="str">
            <v>사랑의헌금</v>
          </cell>
          <cell r="C251" t="str">
            <v>조의금</v>
          </cell>
          <cell r="D251" t="str">
            <v>장례 화환</v>
          </cell>
          <cell r="E251" t="str">
            <v>지출</v>
          </cell>
          <cell r="F251" t="str">
            <v>사랑의 헌금</v>
          </cell>
        </row>
        <row r="252">
          <cell r="A252">
            <v>70420</v>
          </cell>
          <cell r="B252" t="str">
            <v>사랑의헌금</v>
          </cell>
          <cell r="C252" t="str">
            <v>축의금</v>
          </cell>
          <cell r="D252" t="str">
            <v>축의금</v>
          </cell>
          <cell r="E252" t="str">
            <v>지출</v>
          </cell>
          <cell r="F252" t="str">
            <v>사랑의 헌금</v>
          </cell>
        </row>
        <row r="253">
          <cell r="A253">
            <v>70429</v>
          </cell>
          <cell r="B253" t="str">
            <v>사랑의헌금</v>
          </cell>
          <cell r="C253" t="str">
            <v>기타 축의금</v>
          </cell>
          <cell r="D253" t="str">
            <v>기타 축의금(개업식등)</v>
          </cell>
          <cell r="E253" t="str">
            <v>지출</v>
          </cell>
          <cell r="F253" t="str">
            <v>사랑의 헌금</v>
          </cell>
        </row>
        <row r="254">
          <cell r="A254">
            <v>70500</v>
          </cell>
          <cell r="B254" t="str">
            <v>사랑의헌금</v>
          </cell>
          <cell r="C254" t="str">
            <v>은장회선물</v>
          </cell>
          <cell r="D254" t="str">
            <v>명절 선물(은장회)</v>
          </cell>
          <cell r="E254" t="str">
            <v>지출</v>
          </cell>
          <cell r="F254" t="str">
            <v>사랑의 헌금</v>
          </cell>
        </row>
        <row r="255">
          <cell r="A255">
            <v>71000</v>
          </cell>
          <cell r="B255" t="str">
            <v>사랑의헌금</v>
          </cell>
          <cell r="C255" t="str">
            <v>대여금</v>
          </cell>
          <cell r="D255" t="str">
            <v>타계정 대여금</v>
          </cell>
          <cell r="E255" t="str">
            <v>지출</v>
          </cell>
          <cell r="F255" t="str">
            <v>사랑의 헌금</v>
          </cell>
        </row>
        <row r="256">
          <cell r="A256">
            <v>71010</v>
          </cell>
          <cell r="B256" t="str">
            <v>사랑의헌금</v>
          </cell>
          <cell r="C256" t="str">
            <v>사랑의헌금</v>
          </cell>
          <cell r="D256" t="str">
            <v>사랑의헌금 -&gt; 일반 대여</v>
          </cell>
          <cell r="E256" t="str">
            <v>지출</v>
          </cell>
          <cell r="F256" t="str">
            <v>사랑의 헌금</v>
          </cell>
        </row>
        <row r="257">
          <cell r="A257">
            <v>71020</v>
          </cell>
          <cell r="B257" t="str">
            <v>사랑의헌금</v>
          </cell>
          <cell r="C257" t="str">
            <v>사랑의헌금</v>
          </cell>
          <cell r="D257" t="str">
            <v>사랑의헌금 -&gt; 건축 대여</v>
          </cell>
          <cell r="E257" t="str">
            <v>지출</v>
          </cell>
          <cell r="F257" t="str">
            <v>사랑의 헌금</v>
          </cell>
        </row>
        <row r="258">
          <cell r="A258">
            <v>90000</v>
          </cell>
          <cell r="B258" t="str">
            <v>이체오류</v>
          </cell>
          <cell r="C258" t="str">
            <v>이체오류지출</v>
          </cell>
          <cell r="D258" t="str">
            <v>이체오류</v>
          </cell>
          <cell r="E258" t="str">
            <v>지출</v>
          </cell>
          <cell r="F258" t="str">
            <v>사랑의 헌금</v>
          </cell>
        </row>
        <row r="259">
          <cell r="A259">
            <v>90000</v>
          </cell>
          <cell r="B259" t="str">
            <v>이체오류</v>
          </cell>
          <cell r="C259" t="str">
            <v>이체오류지출</v>
          </cell>
          <cell r="D259" t="str">
            <v>이체오류</v>
          </cell>
          <cell r="E259" t="str">
            <v>지출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invalid="1" enableRefresh="0" refreshedBy="" refreshedDate="0" createdVersion="1" recordCount="1157" upgradeOnRefresh="1">
  <cacheSource type="worksheet">
    <worksheetSource ref="A3:J65536" sheet="통합계정"/>
  </cacheSource>
  <cacheFields count="10">
    <cacheField name="지출월" numFmtId="0">
      <sharedItems containsBlank="1" count="34">
        <s v="1월"/>
        <s v="1월 통합 계정 결산 금액"/>
        <s v="2월"/>
        <m/>
        <s v="2월 통합 계정 결산 금액" u="1"/>
        <s v="3월" u="1"/>
        <s v="3월 통합 계정 결산 금액" u="1"/>
        <s v="4월" u="1"/>
        <s v="4월 통합 계정 결산 금액" u="1"/>
        <s v="5월" u="1"/>
        <s v="5월 통합 계정 결산 금액" u="1"/>
        <s v="6월" u="1"/>
        <s v="6월 통합 계정 결산 금액" u="1"/>
        <s v="7월" u="1"/>
        <s v="7월 통합 계정 결산 금액" u="1"/>
        <s v="8월" u="1"/>
        <s v="8월 통합 계정 결산 금액" u="1"/>
        <s v="9월" u="1"/>
        <s v="9월 통합 계정 결산 금액" u="1"/>
        <s v="10월" u="1"/>
        <s v="10월 통합 계정 결산 금액" u="1"/>
        <s v="11월" u="1"/>
        <s v="11월 통합 계정 결산 금액" u="1"/>
        <s v="12월" u="1"/>
        <s v="12월 통합 계정 결산 금액" u="1"/>
        <s v="11월 통합계정 결산 금액" u="1"/>
        <s v="8월 통합계정 결산 금액" u="1"/>
        <s v="4월 " u="1"/>
        <s v="6월 통합계정 결산 금액" u="1"/>
        <s v="10월 통합계정 결산 금액" u="1"/>
        <s v="9월 통합계정 결산 금액" u="1"/>
        <s v="12월 통합계정 결산 금액" u="1"/>
        <s v="7월 통합계정 결산 금액" u="1"/>
        <s v="5월 통합계정 결산 금액" u="1"/>
      </sharedItems>
    </cacheField>
    <cacheField name="주차" numFmtId="0">
      <sharedItems containsBlank="1" count="6">
        <s v="1주차"/>
        <s v="2주차"/>
        <s v="3주차"/>
        <s v="4주차"/>
        <s v="5주차"/>
        <m/>
      </sharedItems>
    </cacheField>
    <cacheField name="입금전표&amp;_x000a_지출 결의 번호" numFmtId="0">
      <sharedItems containsDate="1" containsBlank="1" containsMixedTypes="1" minDate="2020-01-22T00:00:00" maxDate="2025-01-01T00:00:00" count="3769">
        <d v="2024-01-01T00:00:00"/>
        <d v="2024-01-02T00:00:00"/>
        <s v="240102-001"/>
        <s v="240102-002"/>
        <s v="240102-003"/>
        <s v="240102-004"/>
        <s v="240102-005"/>
        <s v="240102-006"/>
        <s v="240102-007"/>
        <s v="240102-008"/>
        <s v="240102-009"/>
        <s v="240102-010"/>
        <s v="240102-011"/>
        <s v="240103-001"/>
        <d v="2024-01-03T00:00:00"/>
        <d v="2024-01-04T00:00:00"/>
        <s v="240104-001"/>
        <d v="2024-01-05T00:00:00"/>
        <s v="240106-001"/>
        <d v="2024-01-07T00:00:00"/>
        <s v="수입-20240107-001"/>
        <d v="2024-01-08T00:00:00"/>
        <s v="240109-001"/>
        <s v="240109-002"/>
        <d v="2024-01-09T00:00:00"/>
        <d v="2024-01-10T00:00:00"/>
        <s v="240110-001"/>
        <d v="2024-01-11T00:00:00"/>
        <d v="2024-01-12T00:00:00"/>
        <s v="수입-20240107-002"/>
        <d v="2024-01-13T00:00:00"/>
        <s v="240113-001"/>
        <d v="2024-01-14T00:00:00"/>
        <s v="수입-20240114-001"/>
        <d v="2024-01-15T00:00:00"/>
        <s v="240116-001"/>
        <s v="수입-20240114-002"/>
        <d v="2024-01-16T00:00:00"/>
        <d v="2024-01-17T00:00:00"/>
        <d v="2024-01-18T00:00:00"/>
        <d v="2024-01-19T00:00:00"/>
        <d v="2024-01-20T00:00:00"/>
        <s v="240120-001"/>
        <d v="2024-01-21T00:00:00"/>
        <s v="수입-20240121-001"/>
        <d v="2024-01-22T00:00:00"/>
        <s v="240122-001"/>
        <s v="수입-20240121-002"/>
        <d v="2024-01-23T00:00:00"/>
        <d v="2024-01-24T00:00:00"/>
        <s v="240124-001"/>
        <s v="240124-002"/>
        <d v="2024-01-25T00:00:00"/>
        <d v="2024-01-26T00:00:00"/>
        <d v="2024-01-27T00:00:00"/>
        <d v="2024-01-28T00:00:00"/>
        <s v="수입-20240128-001"/>
        <s v="240128-001"/>
        <s v="240128-002"/>
        <s v="240128-003"/>
        <s v="240128-004"/>
        <s v="240128-005"/>
        <d v="2024-01-29T00:00:00"/>
        <s v="수입-20240128-002"/>
        <s v="240130-001"/>
        <d v="2024-01-31T00:00:00"/>
        <m/>
        <d v="2024-02-01T00:00:00"/>
        <d v="2024-02-02T00:00:00"/>
        <d v="2024-02-03T00:00:00"/>
        <d v="2024-02-04T00:00:00"/>
        <s v="수입-20240204-001"/>
        <s v="240204-001"/>
        <s v="240204-002"/>
        <s v="240204-003"/>
        <s v="240204-004"/>
        <s v="240204-005"/>
        <s v="240204-006"/>
        <s v="240204-007"/>
        <s v="수입-20240104-001"/>
        <d v="2023-01-01T00:00:00"/>
        <s v="수입-20230101-001"/>
        <s v="230101-001"/>
        <s v="230101-002"/>
        <s v="230101-003"/>
        <d v="2023-01-02T00:00:00"/>
        <d v="2023-01-03T00:00:00"/>
        <s v="230103-001"/>
        <s v="230103-002"/>
        <s v="230104-001"/>
        <d v="2023-01-04T00:00:00"/>
        <d v="2023-01-05T00:00:00"/>
        <s v="230106-001"/>
        <s v="230106-002"/>
        <d v="2023-01-07T00:00:00"/>
        <d v="2023-01-08T00:00:00"/>
        <s v="수입-20230108-001"/>
        <d v="2023-01-09T00:00:00"/>
        <s v="230109-001"/>
        <s v="230109-002"/>
        <s v="230109-003"/>
        <s v="230109-004"/>
        <d v="2023-01-10T00:00:00"/>
        <s v="수입-20230108-002"/>
        <d v="2023-01-11T00:00:00"/>
        <s v="230111-001"/>
        <s v="230111-002"/>
        <d v="2023-01-12T00:00:00"/>
        <s v="230112-001"/>
        <d v="2023-01-13T00:00:00"/>
        <s v="230113-001"/>
        <s v="230113-002"/>
        <d v="2023-01-14T00:00:00"/>
        <s v="230114-001"/>
        <d v="2023-01-15T00:00:00"/>
        <s v="수입-20230115-001"/>
        <d v="2023-01-16T00:00:00"/>
        <s v="수입-20230115-002"/>
        <d v="2023-01-17T00:00:00"/>
        <d v="2023-01-18T00:00:00"/>
        <s v="230119-001"/>
        <s v="230119-002"/>
        <s v="230119-003"/>
        <s v="230119-004"/>
        <s v="230119-005"/>
        <d v="2023-01-20T00:00:00"/>
        <s v="230120-001"/>
        <d v="2023-01-21T00:00:00"/>
        <d v="2023-01-22T00:00:00"/>
        <d v="2023-01-23T00:00:00"/>
        <d v="2023-01-24T00:00:00"/>
        <s v="230125-001"/>
        <d v="2023-01-25T00:00:00"/>
        <s v="230125-002"/>
        <s v="230125-003"/>
        <d v="2023-01-26T00:00:00"/>
        <s v="230126-001"/>
        <s v="230126-002"/>
        <s v="230126-003"/>
        <s v="230126-004"/>
        <s v="230126-005"/>
        <s v="230127-001"/>
        <d v="2023-01-28T00:00:00"/>
        <s v="230128-001"/>
        <d v="2023-01-29T00:00:00"/>
        <d v="2023-01-30T00:00:00"/>
        <s v="수입-20230129-001"/>
        <d v="2023-01-31T00:00:00"/>
        <s v="수입-20230129-002"/>
        <s v="230131-001"/>
        <s v="230131-002"/>
        <s v="230131-003"/>
        <d v="2023-02-01T00:00:00"/>
        <d v="2023-02-02T00:00:00"/>
        <s v="230202-001"/>
        <d v="2023-02-04T00:00:00"/>
        <d v="2023-02-05T00:00:00"/>
        <s v="230205-001"/>
        <s v="230205-002"/>
        <s v="230205-003"/>
        <s v="230205-004"/>
        <d v="2023-02-06T00:00:00"/>
        <d v="2023-02-07T00:00:00"/>
        <s v="수입-20230205-001"/>
        <d v="2023-02-08T00:00:00"/>
        <s v="230209-001"/>
        <d v="2023-02-09T00:00:00"/>
        <d v="2023-02-10T00:00:00"/>
        <d v="2023-02-11T00:00:00"/>
        <d v="2023-02-12T00:00:00"/>
        <s v="수입-20230212-001"/>
        <d v="2023-02-13T00:00:00"/>
        <s v="230214-001"/>
        <s v="수입-20230212-002"/>
        <s v="230214-002"/>
        <d v="2023-02-14T00:00:00"/>
        <s v="230214-003"/>
        <s v="230214-004"/>
        <d v="2023-02-15T00:00:00"/>
        <d v="2023-02-16T00:00:00"/>
        <d v="2023-02-17T00:00:00"/>
        <s v="230218-001"/>
        <d v="2023-02-18T00:00:00"/>
        <d v="2023-02-19T00:00:00"/>
        <d v="2023-02-20T00:00:00"/>
        <s v="수입-20230219-001"/>
        <d v="2023-02-21T00:00:00"/>
        <s v="수입-20230219-002"/>
        <s v="230221-001"/>
        <d v="2023-02-22T00:00:00"/>
        <d v="2023-02-24T00:00:00"/>
        <s v="230224-001"/>
        <s v="230224-002"/>
        <s v="230224-003"/>
        <d v="2023-02-25T00:00:00"/>
        <d v="2023-02-26T00:00:00"/>
        <s v="230226-001"/>
        <s v="수입-20230226-001"/>
        <d v="2023-02-27T00:00:00"/>
        <s v="수입-20230226-002"/>
        <d v="2023-02-28T00:00:00"/>
        <s v="230228-001"/>
        <d v="2023-03-01T00:00:00"/>
        <d v="2023-03-02T00:00:00"/>
        <s v="230302-001"/>
        <s v="230302-002"/>
        <s v="230302-003"/>
        <d v="2023-03-03T00:00:00"/>
        <s v="230305-001"/>
        <s v="230305-002"/>
        <s v="230305-003"/>
        <s v="230305-004"/>
        <d v="2023-03-05T00:00:00"/>
        <d v="2023-03-06T00:00:00"/>
        <s v="수입-20230305-001"/>
        <d v="2023-03-07T00:00:00"/>
        <s v="230307-001"/>
        <d v="2023-03-08T00:00:00"/>
        <s v="수입-20230305-002"/>
        <s v="230308-001"/>
        <s v="230308-002"/>
        <d v="2023-03-10T00:00:00"/>
        <d v="2023-03-11T00:00:00"/>
        <d v="2023-03-12T00:00:00"/>
        <s v="230312-001"/>
        <s v="230312-002"/>
        <s v="수입-20230312-001"/>
        <d v="2023-03-13T00:00:00"/>
        <d v="2023-03-15T00:00:00"/>
        <d v="2023-03-16T00:00:00"/>
        <s v="230316-001"/>
        <s v="230317-001"/>
        <d v="2023-03-18T00:00:00"/>
        <d v="2023-03-19T00:00:00"/>
        <s v="230319-001"/>
        <s v="230319-002"/>
        <s v="수입-20230319-001"/>
        <d v="2023-03-20T00:00:00"/>
        <d v="2023-03-21T00:00:00"/>
        <s v="수입-20230319-002"/>
        <s v="230321-001"/>
        <s v="230322-001"/>
        <d v="2023-03-22T00:00:00"/>
        <d v="2023-03-23T00:00:00"/>
        <d v="2023-03-24T00:00:00"/>
        <d v="2023-03-25T00:00:00"/>
        <d v="2023-03-26T00:00:00"/>
        <d v="2023-03-27T00:00:00"/>
        <s v="수입-20230326-001"/>
        <d v="2023-03-28T00:00:00"/>
        <s v="230328-001"/>
        <s v="230328-002"/>
        <s v="수입-20230326-002"/>
        <d v="2023-03-29T00:00:00"/>
        <s v="230329-001"/>
        <s v="230330-001"/>
        <s v="230330-002"/>
        <s v="230330-003"/>
        <d v="2023-03-31T00:00:00"/>
        <d v="2023-04-01T00:00:00"/>
        <d v="2023-04-02T00:00:00"/>
        <s v="230402-001"/>
        <s v="230402-002"/>
        <s v="230402-003"/>
        <s v="수입-20230402-001"/>
        <d v="2023-04-03T00:00:00"/>
        <d v="2023-04-04T00:00:00"/>
        <d v="2023-04-05T00:00:00"/>
        <s v="수입-20230402-002"/>
        <d v="2023-04-06T00:00:00"/>
        <s v="230407-001"/>
        <d v="2023-04-07T00:00:00"/>
        <d v="2023-04-08T00:00:00"/>
        <d v="2023-04-09T00:00:00"/>
        <s v="수입-20230409-001"/>
        <d v="2023-04-10T00:00:00"/>
        <s v="수입-20230409-002"/>
        <d v="2023-04-11T00:00:00"/>
        <d v="2023-04-12T00:00:00"/>
        <s v="230412-001"/>
        <d v="2023-04-13T00:00:00"/>
        <s v="230413-001"/>
        <s v="230413-002"/>
        <s v="230413-003"/>
        <d v="2023-04-14T00:00:00"/>
        <d v="2023-04-16T00:00:00"/>
        <s v="230416-001"/>
        <d v="2023-04-17T00:00:00"/>
        <s v="230417-001"/>
        <s v="수입-20230416-001"/>
        <d v="2023-04-18T00:00:00"/>
        <s v="수입-20230416-002"/>
        <d v="2023-04-19T00:00:00"/>
        <s v="230419-001"/>
        <d v="2023-04-20T00:00:00"/>
        <d v="2023-04-21T00:00:00"/>
        <s v="230421-001"/>
        <d v="2023-04-22T00:00:00"/>
        <d v="2023-04-23T00:00:00"/>
        <s v="수입-20230423-001"/>
        <d v="2023-04-24T00:00:00"/>
        <d v="2023-04-25T00:00:00"/>
        <s v="수입-20230423-002"/>
        <s v="230425-001"/>
        <d v="2023-04-26T00:00:00"/>
        <d v="2023-04-27T00:00:00"/>
        <s v="230427-001"/>
        <d v="2023-04-28T00:00:00"/>
        <d v="2023-04-30T00:00:00"/>
        <s v="수입-20230430-002"/>
        <s v="수입-20230430-001"/>
        <d v="2023-05-01T00:00:00"/>
        <d v="2023-05-02T00:00:00"/>
        <s v="230502-001"/>
        <s v="230502-002"/>
        <d v="2023-05-03T00:00:00"/>
        <s v="230504-001"/>
        <s v="230504-002"/>
        <s v="230504-003"/>
        <s v="230504-004"/>
        <d v="2023-05-04T00:00:00"/>
        <s v="230505-001"/>
        <d v="2023-05-06T00:00:00"/>
        <s v="230506-001"/>
        <d v="2023-05-07T00:00:00"/>
        <s v="230507-001"/>
        <d v="2023-05-08T00:00:00"/>
        <s v="수입-20230507-001"/>
        <s v="수입-20230507-002"/>
        <d v="2023-05-10T00:00:00"/>
        <d v="2023-05-11T00:00:00"/>
        <d v="2023-05-12T00:00:00"/>
        <s v="230512-001"/>
        <s v="230512-002"/>
        <s v="230512-003"/>
        <d v="2023-05-13T00:00:00"/>
        <d v="2023-05-14T00:00:00"/>
        <s v="230514-001"/>
        <s v="230514-002"/>
        <s v="230514-003"/>
        <s v="230514-004"/>
        <s v="230514-005"/>
        <d v="2023-05-15T00:00:00"/>
        <s v="230515-001"/>
        <s v="수입-20230514-001"/>
        <d v="2023-05-16T00:00:00"/>
        <d v="2023-05-17T00:00:00"/>
        <s v="수입-20230514-002"/>
        <s v="231518-001"/>
        <s v="231518-002"/>
        <d v="2023-05-19T00:00:00"/>
        <d v="2023-05-20T00:00:00"/>
        <d v="2023-05-21T00:00:00"/>
        <s v="230521-001"/>
        <s v="230521-002"/>
        <d v="2023-05-22T00:00:00"/>
        <s v="230522-001"/>
        <d v="2023-05-23T00:00:00"/>
        <d v="2023-05-24T00:00:00"/>
        <s v="수입-20230521-001"/>
        <d v="2023-05-25T00:00:00"/>
        <s v="수입-20230521-002"/>
        <d v="2023-05-26T00:00:00"/>
        <d v="2023-05-28T00:00:00"/>
        <s v="230528-001"/>
        <s v="수입-20230528-001"/>
        <d v="2023-05-30T00:00:00"/>
        <d v="2023-05-31T00:00:00"/>
        <s v="수입-20230528-002"/>
        <s v="230531-001"/>
        <s v="230531-002"/>
        <s v="230531-003"/>
        <s v="230531-004"/>
        <s v="230531-005"/>
        <s v="230531-006"/>
        <d v="2023-06-01T00:00:00"/>
        <d v="2023-06-02T00:00:00"/>
        <d v="2023-06-03T00:00:00"/>
        <d v="2023-06-04T00:00:00"/>
        <s v="수입-20230604-001"/>
        <d v="2023-06-05T00:00:00"/>
        <s v="230606-001"/>
        <d v="2023-06-06T00:00:00"/>
        <d v="2023-06-07T00:00:00"/>
        <s v="수입-20230604-002"/>
        <s v="230607-001"/>
        <d v="2023-06-08T00:00:00"/>
        <d v="2023-06-09T00:00:00"/>
        <d v="2023-06-10T00:00:00"/>
        <d v="2023-06-11T00:00:00"/>
        <d v="2023-06-12T00:00:00"/>
        <d v="2023-06-13T00:00:00"/>
        <s v="230613-001"/>
        <s v="230613-002"/>
        <s v="230613-003"/>
        <s v="230613-004"/>
        <s v="230613-005"/>
        <d v="2023-06-14T00:00:00"/>
        <s v="수입-20230611-001"/>
        <s v="수입-20230611-002"/>
        <d v="2023-06-15T00:00:00"/>
        <d v="2023-06-16T00:00:00"/>
        <d v="2023-06-17T00:00:00"/>
        <d v="2023-06-18T00:00:00"/>
        <s v="수입-20230618-001"/>
        <d v="2023-06-19T00:00:00"/>
        <s v="수입-20230618-002"/>
        <s v="230620-001"/>
        <d v="2023-06-20T00:00:00"/>
        <s v="230620-002"/>
        <s v="230620-003"/>
        <s v="230620-004"/>
        <d v="2023-06-21T00:00:00"/>
        <s v="230621-001"/>
        <d v="2023-06-22T00:00:00"/>
        <d v="2023-06-23T00:00:00"/>
        <d v="2023-06-24T00:00:00"/>
        <d v="2023-06-25T00:00:00"/>
        <d v="2023-06-26T00:00:00"/>
        <s v="230626-001"/>
        <s v="230626-002"/>
        <s v="230626-003"/>
        <s v="230626-004"/>
        <s v="230626-005"/>
        <s v="230626-006"/>
        <s v="수입-20230625-001"/>
        <d v="2023-06-27T00:00:00"/>
        <s v="수입-20230625-002"/>
        <d v="2023-06-28T00:00:00"/>
        <d v="2023-06-29T00:00:00"/>
        <d v="2023-06-30T00:00:00"/>
        <s v="230630-001"/>
        <s v="230630-002"/>
        <d v="2023-07-01T00:00:00"/>
        <d v="2023-07-02T00:00:00"/>
        <s v="수입-20230702-001"/>
        <d v="2023-07-03T00:00:00"/>
        <s v="230703-001"/>
        <d v="2023-07-04T00:00:00"/>
        <d v="2023-07-05T00:00:00"/>
        <s v="수입-20230702-002"/>
        <s v="230706-001"/>
        <s v="230706-002"/>
        <s v="230706-003"/>
        <d v="2023-07-06T00:00:00"/>
        <s v="230708-001"/>
        <d v="2023-07-08T00:00:00"/>
        <d v="2023-07-09T00:00:00"/>
        <s v="수입-20230709-001"/>
        <d v="2023-07-10T00:00:00"/>
        <d v="2023-07-11T00:00:00"/>
        <s v="수입-20230709-002"/>
        <d v="2023-07-12T00:00:00"/>
        <d v="2023-07-13T00:00:00"/>
        <s v="230713-001"/>
        <s v="230713-002"/>
        <s v="230713-003"/>
        <d v="2023-07-14T00:00:00"/>
        <d v="2023-07-15T00:00:00"/>
        <d v="2023-07-16T00:00:00"/>
        <s v="수입-20230716-001"/>
        <d v="2023-07-17T00:00:00"/>
        <s v="수입-20230716-002"/>
        <s v="230718-001"/>
        <s v="230718-002"/>
        <s v="230718-003"/>
        <s v="230718-004"/>
        <d v="2023-07-18T00:00:00"/>
        <d v="2023-07-20T00:00:00"/>
        <s v="230720-001"/>
        <d v="2023-07-21T00:00:00"/>
        <s v="230721-001"/>
        <d v="2023-07-23T00:00:00"/>
        <s v="수입-20230723-001"/>
        <d v="2023-07-24T00:00:00"/>
        <d v="2023-07-25T00:00:00"/>
        <s v="수입-20230723-002"/>
        <s v="230725-001"/>
        <d v="2023-07-26T00:00:00"/>
        <s v="230726-001"/>
        <d v="2023-07-27T00:00:00"/>
        <d v="2023-07-28T00:00:00"/>
        <s v="230729-001"/>
        <d v="2023-07-29T00:00:00"/>
        <d v="2023-07-30T00:00:00"/>
        <s v="수입-20230730-001"/>
        <s v="수입-20230730-002"/>
        <d v="2023-07-31T00:00:00"/>
        <d v="2023-08-01T00:00:00"/>
        <d v="2023-08-02T00:00:00"/>
        <d v="2023-08-04T00:00:00"/>
        <d v="2023-08-05T00:00:00"/>
        <s v="230805-001"/>
        <s v="230805-002"/>
        <s v="230805-003"/>
        <s v="230805-004"/>
        <s v="230805-005"/>
        <s v="230805-006"/>
        <s v="230805-007"/>
        <d v="2023-08-06T00:00:00"/>
        <s v="230806-001"/>
        <s v="230806-002"/>
        <s v="230806-003"/>
        <s v="230806-004"/>
        <d v="2023-08-07T00:00:00"/>
        <s v="수입-20230807-001"/>
        <s v="수입-20230807-002"/>
        <s v="230807-001"/>
        <d v="2023-08-08T00:00:00"/>
        <d v="2023-08-09T00:00:00"/>
        <d v="2023-08-10T00:00:00"/>
        <s v="230810-001"/>
        <s v="230810-002"/>
        <d v="2023-08-11T00:00:00"/>
        <d v="2023-08-14T00:00:00"/>
        <d v="2023-08-15T00:00:00"/>
        <s v="230815-001"/>
        <d v="2023-08-16T00:00:00"/>
        <s v="230816-001"/>
        <d v="2023-08-17T00:00:00"/>
        <d v="2023-08-18T00:00:00"/>
        <d v="2023-08-19T00:00:00"/>
        <d v="2023-08-20T00:00:00"/>
        <s v="230820-001"/>
        <s v="230820-002"/>
        <s v="230820-003"/>
        <s v="230820-004"/>
        <s v="수입-20230820-001"/>
        <d v="2023-08-21T00:00:00"/>
        <s v="230821-001"/>
        <s v="230821-002"/>
        <d v="2023-08-22T00:00:00"/>
        <s v="230822-001"/>
        <d v="2023-08-23T00:00:00"/>
        <s v="수입-20230820-002"/>
        <d v="2023-08-24T00:00:00"/>
        <d v="2023-08-25T00:00:00"/>
        <s v="230825-001"/>
        <d v="2023-08-26T00:00:00"/>
        <d v="2023-08-27T00:00:00"/>
        <s v="230827-001"/>
        <s v="수입-20230827-001"/>
        <s v="230828-001"/>
        <d v="2023-08-28T00:00:00"/>
        <s v="230828-002"/>
        <d v="2023-08-29T00:00:00"/>
        <d v="2023-08-30T00:00:00"/>
        <d v="2023-08-31T00:00:00"/>
        <s v="230831-001"/>
        <d v="2023-09-01T00:00:00"/>
        <d v="2023-09-02T00:00:00"/>
        <d v="2023-09-03T00:00:00"/>
        <s v="230903-001"/>
        <d v="2023-09-04T00:00:00"/>
        <d v="2023-09-05T00:00:00"/>
        <s v="230905-001"/>
        <s v="230905-002"/>
        <s v="230905-003"/>
        <d v="2023-09-06T00:00:00"/>
        <d v="2023-09-07T00:00:00"/>
        <d v="2023-09-08T00:00:00"/>
        <d v="2023-09-09T00:00:00"/>
        <s v="230909-001"/>
        <d v="2023-09-10T00:00:00"/>
        <s v="230910-001"/>
        <s v="230910-002"/>
        <s v="230910-003"/>
        <s v="230910-004"/>
        <d v="2023-09-11T00:00:00"/>
        <d v="2023-09-12T00:00:00"/>
        <s v="230912-001"/>
        <d v="2023-09-13T00:00:00"/>
        <d v="2023-09-14T00:00:00"/>
        <d v="2023-09-15T00:00:00"/>
        <d v="2023-09-16T00:00:00"/>
        <s v="230916-001"/>
        <s v="230916-002"/>
        <d v="2023-09-17T00:00:00"/>
        <s v="230917-001"/>
        <s v="230917-002"/>
        <d v="2023-09-18T00:00:00"/>
        <s v="230919-001"/>
        <d v="2023-09-20T00:00:00"/>
        <d v="2023-09-21T00:00:00"/>
        <s v="230921-001"/>
        <s v="230921-002"/>
        <s v="230921-003"/>
        <s v="230921-004"/>
        <d v="2023-09-22T00:00:00"/>
        <d v="2023-09-23T00:00:00"/>
        <d v="2023-09-24T00:00:00"/>
        <d v="2023-09-25T00:00:00"/>
        <s v="230925-001"/>
        <s v="230925-002"/>
        <s v="230925-003"/>
        <d v="2023-09-26T00:00:00"/>
        <d v="2023-09-27T00:00:00"/>
        <s v="230927-001"/>
        <s v="230927-002"/>
        <s v="230927-003"/>
        <s v="230927-004"/>
        <s v="230927-005"/>
        <s v="230927-006"/>
        <d v="2023-09-29T00:00:00"/>
        <d v="2023-09-30T00:00:00"/>
        <d v="2023-10-01T00:00:00"/>
        <s v="수입-20231001-001"/>
        <d v="2023-10-02T00:00:00"/>
        <d v="2023-10-03T00:00:00"/>
        <d v="2023-10-04T00:00:00"/>
        <s v="231004-001"/>
        <s v="수입-20231001-002"/>
        <s v="231005-001"/>
        <d v="2023-10-05T00:00:00"/>
        <d v="2023-10-06T00:00:00"/>
        <d v="2023-10-07T00:00:00"/>
        <d v="2023-10-08T00:00:00"/>
        <s v="231008-001"/>
        <s v="231008-002"/>
        <s v="수입-20231008-001"/>
        <d v="2023-10-10T00:00:00"/>
        <d v="2023-10-11T00:00:00"/>
        <s v="231011-001"/>
        <d v="2023-10-12T00:00:00"/>
        <d v="2023-10-13T00:00:00"/>
        <d v="2023-10-14T00:00:00"/>
        <d v="2023-10-15T00:00:00"/>
        <s v="231015-001"/>
        <s v="231015-002"/>
        <s v="231015-003"/>
        <d v="2023-10-16T00:00:00"/>
        <d v="2023-10-18T00:00:00"/>
        <s v="수입-20231015-001"/>
        <s v="231019-001"/>
        <d v="2023-10-20T00:00:00"/>
        <s v="수입-20231015-002"/>
        <s v="231020-001"/>
        <d v="2023-10-21T00:00:00"/>
        <d v="2023-10-22T00:00:00"/>
        <s v="231022-001"/>
        <s v="231022-002"/>
        <d v="2023-10-23T00:00:00"/>
        <s v="231023-001"/>
        <d v="2023-10-25T00:00:00"/>
        <s v="수입-20231022-001"/>
        <d v="2023-10-26T00:00:00"/>
        <s v="수입-20231022-002"/>
        <d v="2023-10-27T00:00:00"/>
        <d v="2023-10-29T00:00:00"/>
        <s v="수입-20231029-001"/>
        <d v="2023-10-30T00:00:00"/>
        <s v="수입-20231029-002"/>
        <d v="2023-10-31T00:00:00"/>
        <s v="231031-001"/>
        <s v="231031-002"/>
        <d v="2023-11-01T00:00:00"/>
        <d v="2023-11-02T00:00:00"/>
        <d v="2023-11-03T00:00:00"/>
        <s v="231104-001"/>
        <d v="2023-11-04T00:00:00"/>
        <d v="2023-11-05T00:00:00"/>
        <s v="231105-001"/>
        <s v="수입-20231105-001"/>
        <d v="2023-11-06T00:00:00"/>
        <s v="수입-20231105-002"/>
        <d v="2023-11-08T00:00:00"/>
        <s v="231109-001"/>
        <s v="231109-002"/>
        <s v="231109-003"/>
        <d v="2023-11-10T00:00:00"/>
        <d v="2023-11-11T00:00:00"/>
        <d v="2023-11-12T00:00:00"/>
        <s v="수입-20231112-001"/>
        <d v="2023-11-13T00:00:00"/>
        <d v="2023-11-14T00:00:00"/>
        <s v="수입-20231112-002"/>
        <s v="231114-001"/>
        <s v="231114-002"/>
        <d v="2023-11-15T00:00:00"/>
        <s v="231116-001"/>
        <s v="231116-002"/>
        <s v="231116-003"/>
        <d v="2023-11-16T00:00:00"/>
        <d v="2023-11-17T00:00:00"/>
        <d v="2023-11-19T00:00:00"/>
        <s v="수입-20231119-001"/>
        <s v="231119-001"/>
        <d v="2023-11-20T00:00:00"/>
        <s v="231120-001"/>
        <s v="수입-20231119-002"/>
        <d v="2023-11-21T00:00:00"/>
        <s v="231121-001"/>
        <d v="2023-11-22T00:00:00"/>
        <d v="2023-11-23T00:00:00"/>
        <d v="2023-11-24T00:00:00"/>
        <d v="2023-11-25T00:00:00"/>
        <d v="2023-11-26T00:00:00"/>
        <s v="수입-20231126-001"/>
        <s v="231127-001"/>
        <d v="2023-11-27T00:00:00"/>
        <d v="2023-11-28T00:00:00"/>
        <s v="수입-20231126-002"/>
        <d v="2023-11-29T00:00:00"/>
        <s v="231129-001"/>
        <s v="231129-002"/>
        <s v="231129-003"/>
        <d v="2023-11-30T00:00:00"/>
        <s v="231130-001"/>
        <d v="2023-12-01T00:00:00"/>
        <s v="231201-001"/>
        <d v="2023-12-02T00:00:00"/>
        <d v="2023-12-03T00:00:00"/>
        <s v="수입-20231203-001"/>
        <d v="2023-12-04T00:00:00"/>
        <s v="231204-001"/>
        <s v="231204-002"/>
        <s v="231204-003"/>
        <s v="231204-004"/>
        <s v="231204-005"/>
        <s v="231204-006"/>
        <s v="231204-007"/>
        <s v="231204-008"/>
        <s v="231204-009"/>
        <s v="231204-010"/>
        <s v="231204-011"/>
        <s v="수입-20231203-002"/>
        <d v="2023-12-05T00:00:00"/>
        <s v="231205-001"/>
        <s v="231205-002"/>
        <s v="231205-003"/>
        <s v="231206-001"/>
        <d v="2023-12-06T00:00:00"/>
        <s v="231207-001"/>
        <d v="2023-12-08T00:00:00"/>
        <d v="2023-12-09T00:00:00"/>
        <d v="2023-12-10T00:00:00"/>
        <s v="수입-20231210-001"/>
        <s v="231210-001"/>
        <s v="231210-002"/>
        <s v="231210-003"/>
        <s v="231210-004"/>
        <d v="2023-12-11T00:00:00"/>
        <d v="2023-12-12T00:00:00"/>
        <s v="231212-001"/>
        <s v="231212-002"/>
        <s v="231212-003"/>
        <s v="231212-004"/>
        <d v="2023-12-13T00:00:00"/>
        <s v="수입-20231210-002"/>
        <s v="231213-001"/>
        <d v="2023-12-14T00:00:00"/>
        <s v="231214-001"/>
        <s v="231214-002"/>
        <d v="2023-12-15T00:00:00"/>
        <d v="2023-12-16T00:00:00"/>
        <d v="2023-12-17T00:00:00"/>
        <s v="수입-20231217-001"/>
        <d v="2023-12-18T00:00:00"/>
        <d v="2023-12-19T00:00:00"/>
        <s v="231219-001"/>
        <d v="2023-12-20T00:00:00"/>
        <d v="2023-12-21T00:00:00"/>
        <s v="231221-001"/>
        <d v="2023-12-22T00:00:00"/>
        <d v="2023-12-23T00:00:00"/>
        <s v="231223-001"/>
        <s v="231223-002"/>
        <s v="231223-003"/>
        <s v="231223-004"/>
        <s v="231223-005"/>
        <s v="231223-006"/>
        <s v="231223-007"/>
        <s v="231223-008"/>
        <s v="231223-009"/>
        <s v="231223-010"/>
        <d v="2023-12-24T00:00:00"/>
        <s v="수입-20231224-001"/>
        <d v="2024-12-25T00:00:00"/>
        <d v="2024-12-26T00:00:00"/>
        <s v="231226-001"/>
        <s v="231226-002"/>
        <s v="231226-003"/>
        <d v="2024-12-27T00:00:00"/>
        <s v="수입-20231224-002"/>
        <d v="2024-12-28T00:00:00"/>
        <d v="2024-12-29T00:00:00"/>
        <d v="2024-12-30T00:00:00"/>
        <d v="2024-12-31T00:00:00"/>
        <s v="231231-001"/>
        <s v="수입-20231231-001"/>
        <s v="수입-20231231-002"/>
        <s v="200512-001"/>
        <s v="210912-001"/>
        <s v="수입-20200202-001"/>
        <s v="수입-20200203-001"/>
        <d v="2020-09-19T00:00:00"/>
        <d v="2021-09-19T00:00:00"/>
        <s v="200719-009"/>
        <d v="2022-09-19T00:00:00"/>
        <d v="2020-05-30T00:00:00"/>
        <d v="2021-05-30T00:00:00"/>
        <d v="2022-05-30T00:00:00"/>
        <s v="200422-003"/>
        <s v="210630-006"/>
        <s v="200612-001"/>
        <s v="220611-001"/>
        <s v="210826-001"/>
        <s v="수입-20221030-001"/>
        <s v="수입-20220206-001"/>
        <s v="수입-20211031-001"/>
        <s v="수입-20210207-001"/>
        <s v="200206-008"/>
        <s v="수입-20221030-002"/>
        <s v="수입-20200209-001"/>
        <s v="수입-20211031-002"/>
        <s v="1월 17일"/>
        <s v="210418-009"/>
        <s v="210606-008"/>
        <s v="211125-001"/>
        <d v="2020-10-19T00:00:00"/>
        <s v="200819-009"/>
        <d v="2022-10-19T00:00:00"/>
        <d v="2020-06-30T00:00:00"/>
        <s v="210311-001"/>
        <d v="2021-06-30T00:00:00"/>
        <d v="2022-06-30T00:00:00"/>
        <s v="200522-003"/>
        <s v="200526-001"/>
        <s v="200712-001"/>
        <s v="수입-20210912-002 "/>
        <s v="210926-001"/>
        <s v="200118-009"/>
        <s v="210518-009"/>
        <s v="211031-005"/>
        <s v="210221-003"/>
        <s v="210223-002"/>
        <d v="2021-11-19T00:00:00"/>
        <d v="2022-11-19T00:00:00"/>
        <d v="2020-07-30T00:00:00"/>
        <d v="2021-07-30T00:00:00"/>
        <s v="220623-002"/>
        <s v="수입-20221204-001"/>
        <s v="수입-20211205-001"/>
        <s v="200812-001"/>
        <s v="220811-001"/>
        <s v="수입-20201206-001"/>
        <s v="수입-20221204-002"/>
        <s v="수입-20211205-002"/>
        <s v="수입-20201206-002"/>
        <s v="201111-001"/>
        <s v="221110-001"/>
        <s v="210307-010"/>
        <s v="210321-003"/>
        <s v="210325-001"/>
        <d v="2020-12-19T00:00:00"/>
        <d v="2021-12-19T00:00:00"/>
        <d v="2022-12-19T00:00:00"/>
        <s v="200518-012"/>
        <d v="2020-08-30T00:00:00"/>
        <s v="210511-001"/>
        <d v="2021-08-30T00:00:00"/>
        <d v="2022-08-30T00:00:00"/>
        <s v="200726-001"/>
        <s v="220725-001"/>
        <s v="200912-001"/>
        <s v="201023-002"/>
        <s v="201025-001"/>
        <s v="221020-003"/>
        <s v="221024-001"/>
        <s v="210718-009"/>
        <s v="211231-005"/>
        <s v="201211-001"/>
        <d v="2022-01-09T00:00:00"/>
        <s v="210403-012"/>
        <s v="210421-003"/>
        <s v="210425-001"/>
        <d v="2020-09-30T00:00:00"/>
        <d v="2021-09-30T00:00:00"/>
        <d v="2022-09-30T00:00:00"/>
        <s v="200806-011"/>
        <s v="200826-001"/>
        <s v="220821-003"/>
        <s v="210207-007"/>
        <s v="수입-20200510-001"/>
        <s v="220607-007"/>
        <s v="200121-003"/>
        <s v="200123-002"/>
        <s v="220120-003"/>
        <s v="221122-002"/>
        <s v="210319-011"/>
        <s v="수입-20200510-002"/>
        <d v="2020-02-09T00:00:00"/>
        <d v="2021-02-09T00:00:00"/>
        <s v="210523-002"/>
        <s v="210525-001"/>
        <d v="2020-10-30T00:00:00"/>
        <s v="210711-001"/>
        <d v="2021-10-30T00:00:00"/>
        <d v="2022-10-30T00:00:00"/>
        <s v="200924-002"/>
        <s v="220921-003"/>
        <s v="220925-001"/>
        <s v="수입-20220515-001"/>
        <s v="수입-20210516-001"/>
        <s v="210307-007"/>
        <s v="수입-20200517-001"/>
        <s v="200518-009"/>
        <s v="수입-20220515-002"/>
        <s v="201013-014"/>
        <s v="211010-001"/>
        <s v="200221-003"/>
        <s v="200225-001"/>
        <s v="220220-003"/>
        <s v="220224-001"/>
        <s v="수입-20200517-002"/>
        <s v="221220-003"/>
        <s v="수입-20210519-001"/>
        <s v="220410-001"/>
        <d v="2021-03-09T00:00:00"/>
        <s v="210623-002"/>
        <s v="210625-001"/>
        <s v="200830-006"/>
        <d v="2020-11-30T00:00:00"/>
        <d v="2021-11-30T00:00:00"/>
        <d v="2022-11-30T00:00:00"/>
        <s v="210403-009"/>
        <s v="210407-007"/>
        <s v="210110-001"/>
        <s v="201119-011"/>
        <s v="200806-008"/>
        <s v="200325-001"/>
        <s v="220324-001"/>
        <d v="2020-04-09T00:00:00"/>
        <d v="2021-04-09T00:00:00"/>
        <s v="210725-001"/>
        <d v="2021-12-30T00:00:00"/>
        <d v="2022-12-30T00:00:00"/>
        <d v="2023-12-30T00:00:00"/>
        <s v="200105-008"/>
        <s v="210319-008"/>
        <s v="211024-001"/>
        <s v="200421-003"/>
        <s v="200423-002"/>
        <s v="200425-001"/>
        <s v="220424-001"/>
        <s v="200611-001"/>
        <s v="220610-001"/>
        <d v="2020-05-09T00:00:00"/>
        <d v="2021-05-09T00:00:00"/>
        <d v="2022-05-09T00:00:00"/>
        <d v="2023-05-09T00:00:00"/>
        <d v="2021-01-20T00:00:00"/>
        <s v="210122-002"/>
        <s v="210124-001"/>
        <s v="210310-001"/>
        <s v="200521-003"/>
        <s v="200523-002"/>
        <s v="220524-001"/>
        <d v="2021-06-09T00:00:00"/>
        <d v="2022-06-09T00:00:00"/>
        <d v="2021-02-20T00:00:00"/>
        <d v="2022-02-20T00:00:00"/>
        <s v="201119-008"/>
        <s v="211224-001"/>
        <s v="210410-001"/>
        <s v="200623-002"/>
        <s v="220810-001"/>
        <s v="수입-20220821-001"/>
        <s v="수입-20210822-001"/>
        <d v="2021-07-09T00:00:00"/>
        <d v="2022-07-09T00:00:00"/>
        <s v="수입-20200823-001"/>
        <d v="2021-03-20T00:00:00"/>
        <d v="2022-03-20T00:00:00"/>
        <s v="수입-20220821-002"/>
        <s v="수입-20210822-002"/>
        <s v="수입-20220824-001"/>
        <s v="수입-20210825-001"/>
        <s v="210617-009"/>
        <s v="210320-003"/>
        <s v="210324-001"/>
        <s v="수입-20210425-002 "/>
        <s v="200721-003"/>
        <s v="200723-002"/>
        <s v="220722-002"/>
        <s v="수입-20210829-001"/>
        <d v="2020-08-09T00:00:00"/>
        <d v="2021-08-09T00:00:00"/>
        <d v="2022-08-09T00:00:00"/>
        <s v="210106-007"/>
        <s v="수입-20220828-002"/>
        <d v="2020-04-20T00:00:00"/>
        <d v="2021-04-20T00:00:00"/>
        <d v="2022-04-20T00:00:00"/>
        <s v="수입-20210829-002"/>
        <s v="221023-001"/>
        <s v="200210-001"/>
        <s v="210424-001"/>
        <s v="200825-001"/>
        <s v="220822-002"/>
        <d v="2020-09-09T00:00:00"/>
        <d v="2021-09-09T00:00:00"/>
        <d v="2022-09-09T00:00:00"/>
        <d v="2020-05-20T00:00:00"/>
        <d v="2022-05-20T00:00:00"/>
        <d v="2020-01-31T00:00:00"/>
        <d v="2021-01-31T00:00:00"/>
        <d v="2022-01-31T00:00:00"/>
        <s v="2001129-008"/>
        <s v="200609-006"/>
        <s v="220121-002"/>
        <s v="201122-002"/>
        <s v="201124-001"/>
        <s v="210502-012"/>
        <s v="210520-003"/>
        <s v="210710-001"/>
        <s v="1월 12일"/>
        <s v="220922-002"/>
        <d v="2020-10-09T00:00:00"/>
        <d v="2021-10-09T00:00:00"/>
        <d v="2022-10-09T00:00:00"/>
        <d v="2020-06-20T00:00:00"/>
        <d v="2021-06-20T00:00:00"/>
        <d v="2022-06-20T00:00:00"/>
        <s v="200206-010"/>
        <s v="200220-003"/>
        <s v="201220-003"/>
        <s v="201224-001"/>
        <s v="210430-005"/>
        <s v="200410-001"/>
        <s v="210620-003"/>
        <s v="210624-001"/>
        <s v="200819-011"/>
        <s v="210810-001"/>
        <d v="2022-11-09T00:00:00"/>
        <d v="2020-07-20T00:00:00"/>
        <d v="2022-07-20T00:00:00"/>
        <d v="2020-03-31T00:00:00"/>
        <d v="2021-03-31T00:00:00"/>
        <d v="2022-03-31T00:00:00"/>
        <s v="200130-005"/>
        <s v="200809-006"/>
        <s v="200320-003"/>
        <s v="200324-001"/>
        <s v="210720-003"/>
        <s v="210316-009"/>
        <d v="2020-12-09T00:00:00"/>
        <d v="2022-12-09T00:00:00"/>
        <s v="210502-009"/>
        <d v="2020-08-20T00:00:00"/>
        <d v="2022-08-20T00:00:00"/>
        <s v="200719-008"/>
        <s v="200422-002"/>
        <s v="200424-001"/>
        <s v="210630-005"/>
        <s v="수입-20211020-001"/>
        <s v="200825-015"/>
        <s v="201016-009"/>
        <s v="200206-007"/>
        <s v="210418-008"/>
        <s v="수입-20221023-001"/>
        <s v="수입-20211024-001"/>
        <s v="210606-007"/>
        <d v="2020-09-20T00:00:00"/>
        <s v="수입-20201025-001"/>
        <d v="2022-09-20T00:00:00"/>
        <d v="2020-05-31T00:00:00"/>
        <s v="200819-008"/>
        <d v="2021-05-31T00:00:00"/>
        <d v="2022-05-31T00:00:00"/>
        <s v="수입-20221023-002"/>
        <s v="수입-20211024-002"/>
        <s v="200520-003"/>
        <s v="200522-002"/>
        <s v="220523-001"/>
        <s v="수입-20201025-002"/>
        <s v="수입-20221026-001"/>
        <s v="수입-20211027-001"/>
        <s v="210718-011"/>
        <s v="200710-001"/>
        <s v="수입-20201028-001"/>
        <s v="200118-008"/>
        <s v="210518-008"/>
        <s v="211031-004"/>
        <d v="2020-10-20T00:00:00"/>
        <d v="2021-10-20T00:00:00"/>
        <s v="210221-002"/>
        <s v="210223-001"/>
        <d v="2022-10-20T00:00:00"/>
        <s v="200430-005"/>
        <s v="200620-003"/>
        <s v="200624-001"/>
        <s v="220623-001"/>
        <s v="211009-005"/>
        <s v="210131-004"/>
        <d v="2020-11-20T00:00:00"/>
        <d v="2021-11-20T00:00:00"/>
        <s v="210321-002"/>
        <d v="2022-11-20T00:00:00"/>
        <d v="2020-07-31T00:00:00"/>
        <d v="2021-07-31T00:00:00"/>
        <d v="2022-07-31T00:00:00"/>
        <s v="200518-011"/>
        <s v="210930-005"/>
        <s v="200910-001"/>
        <s v="210109-005"/>
        <s v="211107-006"/>
        <s v="수입-20210331-001"/>
        <s v="201021-002"/>
        <s v="201023-001"/>
        <s v="221020-002"/>
        <s v="221022-001"/>
        <s v="210718-008"/>
        <s v="211231-004"/>
        <d v="2020-12-20T00:00:00"/>
        <s v="210403-011"/>
        <s v="210421-002"/>
        <d v="2022-12-20T00:00:00"/>
        <d v="2020-08-31T00:00:00"/>
        <d v="2021-08-31T00:00:00"/>
        <d v="2022-08-31T00:00:00"/>
        <s v="200806-010"/>
        <s v="200824-001"/>
        <s v="220821-002"/>
        <s v="210207-006"/>
        <s v="220607-006"/>
        <s v="200121-002"/>
        <s v="200123-001"/>
        <s v="220120-002"/>
        <s v="201123-001"/>
        <s v="221122-001"/>
        <s v="210319-010"/>
        <s v="수입-20220501-001"/>
        <d v="2021-01-10T00:00:00"/>
        <d v="2022-01-10T00:00:00"/>
        <s v="수입-20210502-001"/>
        <s v="210523-001"/>
        <s v="수입-20200503-001"/>
        <s v="수입-20220501-002"/>
        <s v="200924-001"/>
        <s v="220921-002"/>
        <s v="수입-20200503-002"/>
        <s v="210307-006"/>
        <s v="200518-008"/>
        <s v="201013-013"/>
        <s v="200221-002"/>
        <s v="220220-002"/>
        <s v="수입-20220508-001"/>
        <s v="221220-002"/>
        <s v="221222-001"/>
        <s v="수입-20210509-001"/>
        <d v="2021-02-10T00:00:00"/>
        <d v="2022-02-10T00:00:00"/>
        <s v="210623-001"/>
        <s v="수입-20220508-002"/>
        <d v="2020-10-31T00:00:00"/>
        <d v="2021-10-31T00:00:00"/>
        <s v="수입-20210509-002"/>
        <d v="2022-10-31T00:00:00"/>
        <s v="200830-005"/>
        <s v="210403-008"/>
        <s v="210407-006"/>
        <s v="201119-010"/>
        <s v="200806-007"/>
        <s v="200321-002"/>
        <s v="200323-001"/>
        <d v="2020-03-10T00:00:00"/>
        <d v="2021-03-10T00:00:00"/>
        <d v="2022-03-10T00:00:00"/>
        <s v="200105-007"/>
        <s v="220104-007"/>
        <s v="221108-005"/>
        <s v="210319-007"/>
        <s v="200906-007"/>
        <s v="200421-002"/>
        <s v="200423-001"/>
        <d v="2020-04-10T00:00:00"/>
        <d v="2021-04-10T00:00:00"/>
        <d v="2022-04-10T00:00:00"/>
        <d v="2021-12-31T00:00:00"/>
        <d v="2022-12-31T00:00:00"/>
        <d v="2023-12-31T00:00:00"/>
        <s v="210122-001"/>
        <s v="200816-009"/>
        <s v="200521-002"/>
        <s v="200523-001"/>
        <d v="2020-05-10T00:00:00"/>
        <d v="2021-05-10T00:00:00"/>
        <d v="2022-05-10T00:00:00"/>
        <d v="2021-01-21T00:00:00"/>
        <s v="201119-007"/>
        <s v="200307-006"/>
        <s v="210703-008"/>
        <s v="210220-002"/>
        <s v="210222-001"/>
        <s v="211222-001"/>
        <s v="200623-001"/>
        <s v="수입-20210811-001"/>
        <d v="2020-06-10T00:00:00"/>
        <d v="2021-06-10T00:00:00"/>
        <d v="2022-06-10T00:00:00"/>
        <d v="2021-02-21T00:00:00"/>
        <d v="2022-02-21T00:00:00"/>
        <s v="수입-20220814-001"/>
        <s v="수입-20210815-001"/>
        <s v="210617-008"/>
        <s v="수입-20200816-001"/>
        <s v="03월 15일"/>
        <s v="210320-002"/>
        <s v="210322-001"/>
        <s v="수입-20220814-002"/>
        <s v="수입-20210815-002"/>
        <s v="수입-20200816-002"/>
        <s v="수입-20210818-001"/>
        <s v="200721-002"/>
        <s v="200723-001"/>
        <s v="220722-001"/>
        <d v="2020-07-10T00:00:00"/>
        <d v="2021-07-10T00:00:00"/>
        <d v="2022-07-10T00:00:00"/>
        <d v="2021-03-21T00:00:00"/>
        <d v="2022-03-21T00:00:00"/>
        <s v="210106-006"/>
        <s v="200509-005"/>
        <s v="221021-001"/>
        <s v="211230-004"/>
        <s v="220822-001"/>
        <d v="2020-08-10T00:00:00"/>
        <d v="2021-08-10T00:00:00"/>
        <d v="2022-08-10T00:00:00"/>
        <d v="2020-04-21T00:00:00"/>
        <d v="2021-04-21T00:00:00"/>
        <d v="2022-04-21T00:00:00"/>
        <s v="200609-005"/>
        <s v="220121-001"/>
        <s v="201122-001"/>
        <s v="221121-001"/>
        <s v="210502-011"/>
        <s v="210520-002"/>
        <s v="220922-001"/>
        <s v="210116-008"/>
        <d v="2020-09-10T00:00:00"/>
        <d v="2021-09-10T00:00:00"/>
        <d v="2022-09-10T00:00:00"/>
        <d v="2020-05-21T00:00:00"/>
        <d v="2022-05-21T00:00:00"/>
        <s v="201016-011"/>
        <s v="201030-004"/>
        <s v="200220-002"/>
        <s v="220221-001"/>
        <s v="201220-002"/>
        <s v="221221-001"/>
        <s v="210430-004"/>
        <s v="210620-002"/>
        <s v="200819-010"/>
        <s v="221009-004"/>
        <d v="2020-10-10T00:00:00"/>
        <d v="2021-10-10T00:00:00"/>
        <d v="2020-06-21T00:00:00"/>
        <d v="2021-06-21T00:00:00"/>
        <s v="210408-005"/>
        <s v="200617-008"/>
        <s v="200118-010"/>
        <s v="200130-004"/>
        <s v="200809-005"/>
        <s v="06월 13일"/>
        <s v="200320-002"/>
        <s v="210720-002"/>
        <s v="210316-008"/>
        <d v="2020-11-10T00:00:00"/>
        <d v="2021-11-10T00:00:00"/>
        <d v="2022-11-10T00:00:00"/>
        <d v="2020-07-21T00:00:00"/>
        <d v="2022-07-21T00:00:00"/>
        <s v="210502-008"/>
        <s v="200719-007"/>
        <s v="200422-001"/>
        <s v="220421-001"/>
        <s v="210630-004"/>
        <s v="수입-20211010-001"/>
        <s v="200825-014"/>
        <s v="210822-001"/>
        <s v="수입-20201011-001"/>
        <s v="201016-008"/>
        <s v="200206-006"/>
        <s v="수입-20201011-002"/>
        <s v="수입-20221012-001"/>
        <s v="수입-20211013-001"/>
        <s v="210418-007"/>
        <d v="2020-12-10T00:00:00"/>
        <d v="2021-12-10T00:00:00"/>
        <d v="2022-12-10T00:00:00"/>
        <d v="2020-08-21T00:00:00"/>
        <d v="2021-08-21T00:00:00"/>
        <d v="2022-08-21T00:00:00"/>
        <s v="210606-006"/>
        <s v="210121-001"/>
        <s v="211121-001"/>
        <s v="200819-007"/>
        <s v="02월 29일"/>
        <s v="200520-002"/>
        <s v="200522-001"/>
        <s v="수입-20221016-001"/>
        <s v="수입-20211017-001"/>
        <s v="210718-010"/>
        <s v="수입-20201018-001"/>
        <s v="수입-20221016-002"/>
        <s v="200118-007"/>
        <s v="수입-20201018-002"/>
        <s v="수입-20221019-001"/>
        <s v="210518-007"/>
        <s v="211031-003"/>
        <d v="2020-09-21T00:00:00"/>
        <d v="2022-09-21T00:00:00"/>
        <s v="210221-001"/>
        <s v="211221-001"/>
        <s v="200430-004"/>
        <s v="200620-002"/>
        <s v="200622-001"/>
        <s v="220621-001"/>
        <s v="211009-004"/>
        <s v="220215-008"/>
        <s v="210131-003"/>
        <d v="2020-10-21T00:00:00"/>
        <d v="2022-10-21T00:00:00"/>
        <s v="03월 14일"/>
        <s v="210321-001"/>
        <s v="200518-010"/>
        <s v="220721-001"/>
        <s v="210930-004"/>
        <s v="210109-004"/>
        <s v="수입-20220320-001"/>
        <s v="211107-005"/>
        <s v="수입-20210321-001"/>
        <s v="200506-006"/>
        <s v="수입-20200323-001"/>
        <s v="201021-001"/>
        <s v="221020-001"/>
        <s v="수입-20210321-002"/>
        <s v="210718-007"/>
        <s v="211231-003"/>
        <d v="2020-11-21T00:00:00"/>
        <d v="2021-11-21T00:00:00"/>
        <s v="210403-010"/>
        <s v="210421-001"/>
        <s v="220821-001"/>
        <s v="수입-20200328-001"/>
        <s v="수입-20220327-001"/>
        <s v="수입-20210328-001"/>
        <s v="210207-005"/>
        <s v="수입-20200329-001"/>
        <s v="수입-20220327-002"/>
        <s v="수입-20210328-002"/>
        <s v="200602-008"/>
        <s v="200604-007"/>
        <s v="220607-005"/>
        <s v="200121-001"/>
        <s v="220120-001"/>
        <d v="2020-12-21T00:00:00"/>
        <d v="2021-12-21T00:00:00"/>
        <d v="2022-12-21T00:00:00"/>
        <s v="210521-001"/>
        <s v="220921-001"/>
        <s v="210307-005"/>
        <s v="200518-007"/>
        <s v="201013-012"/>
        <s v="201031-003"/>
        <s v="210221-015"/>
        <s v="200221-001"/>
        <s v="220220-001"/>
        <s v="201221-001"/>
        <s v="221220-001"/>
        <d v="2021-01-11T00:00:00"/>
        <d v="2022-01-11T00:00:00"/>
        <s v="200628-012"/>
        <s v="210621-001"/>
        <s v="200830-004"/>
        <s v="210403-007"/>
        <s v="210407-005"/>
        <s v="200806-006"/>
        <s v="02월 14일"/>
        <s v="200321-001"/>
        <s v="220320-001"/>
        <d v="2021-02-11T00:00:00"/>
        <d v="2022-02-11T00:00:00"/>
        <s v="210127-009"/>
        <s v="200105-006"/>
        <s v="200107-005"/>
        <s v="220104-006"/>
        <s v="201107-005"/>
        <s v="221108-004"/>
        <s v="210313-009"/>
        <s v="210319-006"/>
        <s v="200906-006"/>
        <s v="200421-001"/>
        <d v="2020-03-11T00:00:00"/>
        <d v="2021-03-11T00:00:00"/>
        <d v="2022-03-11T00:00:00"/>
        <s v="201013-009"/>
        <s v="220206-005"/>
        <s v="200628-009"/>
        <s v="200121-015"/>
        <s v="200816-008"/>
        <s v="02월 28일"/>
        <s v="200521-001"/>
        <d v="2020-04-11T00:00:00"/>
        <d v="2021-04-11T00:00:00"/>
        <d v="2022-04-11T00:00:00"/>
        <s v="201119-006"/>
        <s v="200307-005"/>
        <s v="220306-005"/>
        <s v="210703-007"/>
        <s v="210220-001"/>
        <d v="2020-05-11T00:00:00"/>
        <s v="수입-20210801-001"/>
        <d v="2021-05-11T00:00:00"/>
        <s v="수입-20200802-001"/>
        <d v="2020-01-22T00:00:00"/>
        <s v="수입-20200802-002"/>
        <s v="200407-005"/>
        <s v="수입-20200805-001"/>
        <s v="210617-007"/>
        <s v="수입-20210404-002 "/>
        <s v="210320-001"/>
        <s v="수입-20220807-001"/>
        <s v="수입-20210808-001"/>
        <s v="200721-001"/>
        <s v="수입-20200809-001"/>
        <d v="2020-06-11T00:00:00"/>
        <d v="2021-06-11T00:00:00"/>
        <d v="2022-06-11T00:00:00"/>
        <s v="수입-20220807-002"/>
        <d v="2020-02-22T00:00:00"/>
        <d v="2021-02-22T00:00:00"/>
        <d v="2022-02-22T00:00:00"/>
        <s v="210106-005"/>
        <s v="수입-20200809-002"/>
        <s v="200509-004"/>
        <s v="211230-003"/>
        <s v="200928-009"/>
        <s v="200821-001"/>
        <d v="2020-07-11T00:00:00"/>
        <d v="2021-07-11T00:00:00"/>
        <d v="2022-07-11T00:00:00"/>
        <d v="2020-03-22T00:00:00"/>
        <d v="2021-03-22T00:00:00"/>
        <d v="2022-03-22T00:00:00"/>
        <s v="200609-004"/>
        <s v="210316-010"/>
        <s v="210330-003"/>
        <s v="210502-010"/>
        <s v="210520-001"/>
        <s v="200921-001"/>
        <s v="220920-001"/>
        <d v="2020-08-11T00:00:00"/>
        <d v="2021-08-11T00:00:00"/>
        <d v="2022-08-11T00:00:00"/>
        <s v="210116-007"/>
        <d v="2020-04-22T00:00:00"/>
        <d v="2021-04-22T00:00:00"/>
        <d v="2022-04-22T00:00:00"/>
        <s v="201016-010"/>
        <s v="201030-003"/>
        <s v="200709-004"/>
        <s v="200220-001"/>
        <s v="201220-001"/>
        <s v="210430-003"/>
        <s v="210620-001"/>
        <s v="221009-003"/>
        <d v="2020-09-11T00:00:00"/>
        <d v="2021-09-11T00:00:00"/>
        <d v="2022-09-11T00:00:00"/>
        <d v="2020-05-22T00:00:00"/>
        <d v="2021-05-22T00:00:00"/>
        <d v="2022-05-22T00:00:00"/>
        <s v="210408-004"/>
        <s v="200617-007"/>
        <s v="200130-003"/>
        <s v="200809-004"/>
        <s v="02월 13일"/>
        <s v="200320-001"/>
        <s v="210720-001"/>
        <d v="2020-10-11T00:00:00"/>
        <d v="2021-10-11T00:00:00"/>
        <d v="2022-10-11T00:00:00"/>
        <s v="210316-007"/>
        <d v="2020-06-22T00:00:00"/>
        <d v="2022-06-22T00:00:00"/>
        <s v="210502-007"/>
        <s v="200719-006"/>
        <s v="210630-003"/>
        <s v="200825-013"/>
        <s v="201016-007"/>
        <s v="200206-005"/>
        <s v="수입-20221002-001"/>
        <s v="221209-003"/>
        <d v="2020-11-11T00:00:00"/>
        <d v="2021-11-11T00:00:00"/>
        <d v="2022-11-11T00:00:00"/>
        <s v="210418-006"/>
        <s v="210606-005"/>
        <s v="수입-20221002-002"/>
        <s v="수입-20211003-002"/>
        <s v="200819-006"/>
        <s v="수입-20221005-001"/>
        <s v="수입-20211006-001"/>
        <s v="200520-001"/>
        <s v="수입-20201007-001"/>
        <s v="200118-006"/>
        <s v="220111-009"/>
        <s v="수입-20221009-001"/>
        <s v="210328-008"/>
        <d v="2020-12-11T00:00:00"/>
        <d v="2021-12-11T00:00:00"/>
        <d v="2022-12-11T00:00:00"/>
        <s v="210518-006"/>
        <s v="수입-20221009-002"/>
        <d v="2021-08-22T00:00:00"/>
        <d v="2022-08-22T00:00:00"/>
        <s v="211031-002"/>
        <s v="200913-009"/>
        <s v="200917-007"/>
        <s v="220918-006"/>
        <s v="200430-003"/>
        <s v="200620-001"/>
        <s v="211009-003"/>
        <s v="200218-006"/>
        <s v="220215-007"/>
        <d v="2021-01-01T00:00:00"/>
        <d v="2022-01-01T00:00:00"/>
        <d v="2020-09-22T00:00:00"/>
        <s v="210131-002"/>
        <d v="2022-09-22T00:00:00"/>
        <s v="210930-003"/>
        <s v="210109-003"/>
        <s v="211107-004"/>
        <s v="200314-008"/>
        <d v="2020-02-01T00:00:00"/>
        <d v="2021-02-01T00:00:00"/>
        <s v="200506-005"/>
        <d v="2022-02-01T00:00:00"/>
        <s v="210718-006"/>
        <d v="2020-10-22T00:00:00"/>
        <d v="2021-10-22T00:00:00"/>
        <s v="수입-20200314-001"/>
        <s v="수입-20220313-001"/>
        <d v="2022-10-22T00:00:00"/>
        <s v="211231-002"/>
        <s v="수입-20210314-001"/>
        <s v="수입-20220313-002"/>
        <s v="수입-20210314-002"/>
        <s v="수입-20220316-001"/>
        <s v="210207-004"/>
        <d v="2020-03-01T00:00:00"/>
        <d v="2021-03-01T00:00:00"/>
        <s v="200602-007"/>
        <s v="200604-006"/>
        <s v="220607-004"/>
        <d v="2022-03-01T00:00:00"/>
        <s v="210127-011"/>
        <d v="2020-11-22T00:00:00"/>
        <d v="2021-11-22T00:00:00"/>
        <d v="2022-11-22T00:00:00"/>
        <s v="200920-001"/>
        <s v="210307-004"/>
        <s v="200512-009"/>
        <s v="200518-006"/>
        <s v="02월03일"/>
        <s v="201013-011"/>
        <s v="201031-002"/>
        <s v="221030-002"/>
        <d v="2020-04-01T00:00:00"/>
        <d v="2021-04-01T00:00:00"/>
        <d v="2022-04-01T00:00:00"/>
        <s v="210221-014"/>
        <d v="2020-12-22T00:00:00"/>
        <d v="2021-12-22T00:00:00"/>
        <d v="2022-12-22T00:00:00"/>
        <s v="200628-011"/>
        <s v="200816-010"/>
        <s v="200830-003"/>
        <s v="210403-006"/>
        <s v="210407-004"/>
        <s v="200614-008"/>
        <s v="220130-002"/>
        <d v="2020-05-01T00:00:00"/>
        <d v="2021-05-01T00:00:00"/>
        <s v="200802-007"/>
        <s v="200806-005"/>
        <d v="2022-05-01T00:00:00"/>
        <s v="02월 12일"/>
        <d v="2021-01-12T00:00:00"/>
        <d v="2022-01-12T00:00:00"/>
        <s v="210127-008"/>
        <s v="200105-005"/>
        <s v="200107-004"/>
        <s v="220104-005"/>
        <s v="201101-007"/>
        <s v="201107-004"/>
        <s v="221108-003"/>
        <s v="210313-008"/>
        <s v="210319-005"/>
        <s v="210507-004"/>
        <s v="220719-005"/>
        <d v="2020-06-01T00:00:00"/>
        <d v="2021-06-01T00:00:00"/>
        <s v="200906-005"/>
        <d v="2022-06-01T00:00:00"/>
        <d v="2021-02-12T00:00:00"/>
        <d v="2022-02-12T00:00:00"/>
        <s v="201013-008"/>
        <s v="221016-006"/>
        <s v="220206-004"/>
        <s v="수입-20210620-001"/>
        <s v="200628-008"/>
        <s v="200121-014"/>
        <s v="수입-20200621-001"/>
        <s v="200816-007"/>
        <s v="02월 26일"/>
        <d v="2020-07-01T00:00:00"/>
        <s v="수입-20210620-002"/>
        <d v="2021-07-01T00:00:00"/>
        <d v="2022-07-01T00:00:00"/>
        <d v="2020-03-12T00:00:00"/>
        <d v="2021-03-12T00:00:00"/>
        <s v=" 수입-20220126-001"/>
        <s v="수입-20210623-001"/>
        <s v="수입-20200624-001"/>
        <s v="201119-005"/>
        <s v="200307-004"/>
        <s v="220306-004"/>
        <s v="수입-20220626-001"/>
        <s v="수입-20210627-001"/>
        <s v="210511-009"/>
        <s v="수입-20200628-001"/>
        <s v="210703-006"/>
        <s v="수입-20220626-002"/>
        <s v="수입-20210627-002"/>
        <s v="수입-20200628-002"/>
        <s v="수입-20220629-001"/>
        <d v="2020-08-01T00:00:00"/>
        <d v="2021-08-01T00:00:00"/>
        <d v="2022-08-01T00:00:00"/>
        <s v="1월 1일"/>
        <d v="2020-04-12T00:00:00"/>
        <d v="2021-04-12T00:00:00"/>
        <d v="2022-04-12T00:00:00"/>
        <s v="201217-006"/>
        <s v="200407-004"/>
        <s v="210613-008"/>
        <s v="210617-006"/>
        <d v="2020-09-01T00:00:00"/>
        <d v="2021-09-01T00:00:00"/>
        <d v="2022-09-01T00:00:00"/>
        <s v="1월 2일"/>
        <d v="2020-05-12T00:00:00"/>
        <d v="2021-05-12T00:00:00"/>
        <d v="2022-05-12T00:00:00"/>
        <d v="2020-01-23T00:00:00"/>
        <d v="2021-01-23T00:00:00"/>
        <d v="2022-01-23T00:00:00"/>
        <s v="210106-004"/>
        <s v="201127-008"/>
        <s v="201129-007"/>
        <s v="200509-003"/>
        <s v="220506-004"/>
        <s v="210711-009"/>
        <s v="211230-002"/>
        <s v="200928-008"/>
        <s v="220630-002"/>
        <d v="2020-10-01T00:00:00"/>
        <d v="2021-10-01T00:00:00"/>
        <d v="2022-10-01T00:00:00"/>
        <s v="1월 3일"/>
        <d v="2020-06-12T00:00:00"/>
        <d v="2021-06-12T00:00:00"/>
        <d v="2022-06-12T00:00:00"/>
        <d v="2020-02-23T00:00:00"/>
        <d v="2021-02-23T00:00:00"/>
        <d v="2022-02-23T00:00:00"/>
        <s v="210206-004"/>
        <s v="200609-003"/>
        <s v="210330-002"/>
        <d v="2020-11-01T00:00:00"/>
        <d v="2021-11-01T00:00:00"/>
        <d v="2022-11-01T00:00:00"/>
        <s v="1월 4일"/>
        <d v="2020-07-12T00:00:00"/>
        <d v="2021-07-12T00:00:00"/>
        <d v="2022-07-12T00:00:00"/>
        <d v="2021-03-23T00:00:00"/>
        <s v="210116-006"/>
        <s v="211118-005"/>
        <s v="12월1일"/>
        <s v="201030-002"/>
        <s v="200709-003"/>
        <s v="211224-012"/>
        <s v="210430-002"/>
        <d v="2021-12-01T00:00:00"/>
        <d v="2022-12-01T00:00:00"/>
        <s v="1월 5일"/>
        <d v="2020-08-12T00:00:00"/>
        <d v="2021-08-12T00:00:00"/>
        <d v="2022-08-12T00:00:00"/>
        <s v="221009-002"/>
        <d v="2020-04-23T00:00:00"/>
        <d v="2021-04-23T00:00:00"/>
        <d v="2022-04-23T00:00:00"/>
        <s v="210408-003"/>
        <s v="200617-006"/>
        <s v="200130-002"/>
        <s v="200809-003"/>
        <s v="200913-011"/>
        <s v="1월 6일"/>
        <d v="2020-09-12T00:00:00"/>
        <d v="2021-09-12T00:00:00"/>
        <d v="2022-09-12T00:00:00"/>
        <s v="221109-002"/>
        <d v="2020-05-23T00:00:00"/>
        <d v="2021-05-23T00:00:00"/>
        <d v="2022-05-23T00:00:00"/>
        <s v="210316-006"/>
        <s v="210502-006"/>
        <s v="200719-005"/>
        <s v="12월3일"/>
        <s v="220908-003"/>
        <s v="210630-002"/>
        <s v="200825-012"/>
        <s v="201016-006"/>
        <s v="201018-005"/>
        <s v="1월 7일"/>
        <s v="210228-007"/>
        <d v="2020-10-12T00:00:00"/>
        <s v="200206-004"/>
        <d v="2021-10-12T00:00:00"/>
        <s v="211224-009"/>
        <d v="2022-10-12T00:00:00"/>
        <s v="201206-004"/>
        <s v="221209-002"/>
        <d v="2020-06-23T00:00:00"/>
        <d v="2021-06-23T00:00:00"/>
        <d v="2022-06-23T00:00:00"/>
        <s v="210418-005"/>
        <s v="220628-007"/>
        <s v="210606-004"/>
        <s v="200819-005"/>
        <s v="12월4일"/>
        <s v="02월 25일"/>
        <s v="220331-001"/>
        <s v="200118-005"/>
        <s v="220111-008"/>
        <s v="221117-005"/>
        <s v="210328-007"/>
        <d v="2020-11-12T00:00:00"/>
        <d v="2021-11-12T00:00:00"/>
        <d v="2022-11-12T00:00:00"/>
        <d v="2021-07-23T00:00:00"/>
        <d v="2022-07-23T00:00:00"/>
        <s v="210518-005"/>
        <s v="211031-001"/>
        <s v="210704-005"/>
        <s v="200913-008"/>
        <s v="200917-006"/>
        <s v="220918-005"/>
        <s v="12월5일"/>
        <s v="200430-002"/>
        <s v="수입-20200130-001"/>
        <s v="수입-20220130-001"/>
        <s v="수입-20210131-001"/>
        <s v="211009-002"/>
        <s v="수입-20210131-002"/>
        <s v="200218-005"/>
        <s v="220215-006"/>
        <s v="220403-005"/>
        <s v="220407-003"/>
        <d v="2021-12-12T00:00:00"/>
        <d v="2022-12-12T00:00:00"/>
        <d v="2020-08-23T00:00:00"/>
        <d v="2021-08-23T00:00:00"/>
        <d v="2022-08-23T00:00:00"/>
        <s v="210131-001"/>
        <s v="200825-009"/>
        <s v="12월6일"/>
        <s v="210930-002"/>
        <s v="210109-002"/>
        <s v="211107-003"/>
        <s v="200314-007"/>
        <d v="2022-01-02T00:00:00"/>
        <s v="200506-004"/>
        <s v="수입-20220302-001"/>
        <d v="2020-09-23T00:00:00"/>
        <d v="2022-09-23T00:00:00"/>
        <s v="210718-005"/>
        <s v="211231-001"/>
        <s v="수입-20200306-001"/>
        <s v="수입-20220306-001"/>
        <s v="수입-20210307-001"/>
        <s v="210207-003"/>
        <s v="수입-20220306-002"/>
        <s v="1월 19일"/>
        <d v="2020-02-02T00:00:00"/>
        <d v="2021-02-02T00:00:00"/>
        <d v="2022-02-02T00:00:00"/>
        <s v="200602-006"/>
        <s v="200604-005"/>
        <s v="220607-003"/>
        <s v="210127-010"/>
        <d v="2020-10-23T00:00:00"/>
        <d v="2021-10-23T00:00:00"/>
        <d v="2022-10-23T00:00:00"/>
        <s v="210313-010"/>
        <s v="210331-001"/>
        <s v="220731-001"/>
        <s v="210117-005"/>
        <s v="210307-003"/>
        <s v="210309-002"/>
        <s v="200512-008"/>
        <s v="200518-005"/>
        <s v="220517-005"/>
        <d v="2020-03-02T00:00:00"/>
        <d v="2021-03-02T00:00:00"/>
        <d v="2022-03-02T00:00:00"/>
        <s v="201013-010"/>
        <s v="201031-001"/>
        <s v="221030-001"/>
        <s v="210221-013"/>
        <d v="2020-11-23T00:00:00"/>
        <d v="2022-11-23T00:00:00"/>
        <s v="210916-006"/>
        <s v="200628-010"/>
        <s v="200830-002"/>
        <s v="210403-005"/>
        <s v="210407-003"/>
        <s v="200614-007"/>
        <s v="200618-005"/>
        <d v="2020-04-02T00:00:00"/>
        <s v="220130-001"/>
        <d v="2021-04-02T00:00:00"/>
        <d v="2022-04-02T00:00:00"/>
        <s v="200802-006"/>
        <s v="200806-004"/>
        <s v="02월 10일"/>
        <d v="2020-12-23T00:00:00"/>
        <d v="2021-12-23T00:00:00"/>
        <d v="2022-12-23T00:00:00"/>
        <s v="210511-011"/>
        <s v="210127-007"/>
        <s v="200105-004"/>
        <s v="200107-003"/>
        <s v="220104-004"/>
        <s v="220106-003"/>
        <s v="220108-002"/>
        <s v="201101-006"/>
        <s v="201107-003"/>
        <s v="221108-002"/>
        <s v="210313-007"/>
        <s v="210319-004"/>
        <s v="210507-003"/>
        <s v="200716-006"/>
        <s v="220719-004"/>
        <d v="2020-05-02T00:00:00"/>
        <d v="2021-05-02T00:00:00"/>
        <d v="2022-05-02T00:00:00"/>
        <s v="200906-004"/>
        <d v="2021-01-13T00:00:00"/>
        <s v="201013-007"/>
        <s v="221016-005"/>
        <s v="220206-003"/>
        <s v="수입-20200610-001"/>
        <s v="200628-007"/>
        <s v="200121-013"/>
        <s v="200816-006"/>
        <s v="02월 24일"/>
        <d v="2022-06-02T00:00:00"/>
        <d v="2021-02-13T00:00:00"/>
        <d v="2022-02-13T00:00:00"/>
        <s v="수입-20220612-001"/>
        <s v="수입-20210613-001"/>
        <s v="수입-20200614-001"/>
        <s v="수입-20220612-002"/>
        <s v="수입-20210613-002"/>
        <s v="220116-005"/>
        <s v="수입-20200614-002"/>
        <s v="수입-20220615-001"/>
        <s v="201119-004"/>
        <s v="수입-20210616-001"/>
        <s v="200307-003"/>
        <s v="220306-003"/>
        <s v="210511-008"/>
        <s v="210515-006"/>
        <s v="210703-005"/>
        <d v="2020-07-02T00:00:00"/>
        <s v="수입-20220619-001"/>
        <d v="2021-07-02T00:00:00"/>
        <d v="2022-07-02T00:00:00"/>
        <d v="2020-03-13T00:00:00"/>
        <d v="2021-03-13T00:00:00"/>
        <d v="2022-03-13T00:00:00"/>
        <s v="수입-20220619-002"/>
        <s v="201217-005"/>
        <s v="210425-008"/>
        <s v="200407-003"/>
        <s v="210613-007"/>
        <s v="210617-005"/>
        <s v="211130-001"/>
        <d v="2020-08-02T00:00:00"/>
        <d v="2021-08-02T00:00:00"/>
        <d v="2022-08-02T00:00:00"/>
        <d v="2020-04-13T00:00:00"/>
        <d v="2021-04-13T00:00:00"/>
        <d v="2022-04-13T00:00:00"/>
        <s v="210106-003"/>
        <s v="210108-002"/>
        <s v="201127-007"/>
        <s v="201129-006"/>
        <s v="210523-009"/>
        <s v="200509-002"/>
        <s v="220506-003"/>
        <s v="220508-002"/>
        <s v="210711-008"/>
        <s v="211230-001"/>
        <s v="200928-007"/>
        <d v="2020-09-02T00:00:00"/>
        <s v="220630-001"/>
        <d v="2021-09-02T00:00:00"/>
        <d v="2022-09-02T00:00:00"/>
        <d v="2021-05-13T00:00:00"/>
        <d v="2022-05-13T00:00:00"/>
        <d v="2020-01-24T00:00:00"/>
        <d v="2021-01-24T00:00:00"/>
        <d v="2022-01-24T00:00:00"/>
        <s v="210206-003"/>
        <s v="200609-002"/>
        <s v="210330-001"/>
        <d v="2020-10-02T00:00:00"/>
        <s v="200731-001"/>
        <d v="2021-10-02T00:00:00"/>
        <d v="2022-10-02T00:00:00"/>
        <d v="2020-06-13T00:00:00"/>
        <d v="2021-06-13T00:00:00"/>
        <d v="2021-02-24T00:00:00"/>
        <s v="210116-005"/>
        <s v="211118-004"/>
        <s v="200519-004"/>
        <s v="201030-001"/>
        <s v="200705-004"/>
        <s v="200709-002"/>
        <s v="211224-011"/>
        <s v="210430-001"/>
        <s v="수입-20200920-001"/>
        <s v="220830-001"/>
        <d v="2021-11-02T00:00:00"/>
        <s v="수입-20200920-002"/>
        <s v="수입-20220921-001"/>
        <d v="2022-11-02T00:00:00"/>
        <d v="2020-07-13T00:00:00"/>
        <d v="2022-07-13T00:00:00"/>
        <d v="2020-03-24T00:00:00"/>
        <d v="2021-03-24T00:00:00"/>
        <s v="221009-001"/>
        <d v="2022-03-24T00:00:00"/>
        <s v="210214-006"/>
        <s v="210404-004"/>
        <s v="210408-002"/>
        <s v="200617-005"/>
        <s v="수입-20220925-001"/>
        <s v="200130-001"/>
        <s v="수입-20210926-001"/>
        <s v="200809-002"/>
        <s v="수입-20200927-001"/>
        <s v="수입-20220925-002"/>
        <s v="수입-20210926-002"/>
        <s v="수입-20200927-002"/>
        <s v="200913-010"/>
        <d v="2021-12-02T00:00:00"/>
        <d v="2022-12-02T00:00:00"/>
        <d v="2020-08-13T00:00:00"/>
        <d v="2021-08-13T00:00:00"/>
        <d v="2022-08-13T00:00:00"/>
        <d v="2020-04-24T00:00:00"/>
        <d v="2021-04-24T00:00:00"/>
        <s v="221109-001"/>
        <d v="2022-04-24T00:00:00"/>
        <s v="210316-005"/>
        <s v="210502-005"/>
        <s v="210508-002"/>
        <s v="200719-004"/>
        <s v="200901-006"/>
        <s v="220904-004"/>
        <s v="220908-002"/>
        <s v="210630-001"/>
        <s v="200825-011"/>
        <s v="201016-005"/>
        <s v="201018-004"/>
        <d v="2020-09-13T00:00:00"/>
        <d v="2021-09-13T00:00:00"/>
        <d v="2022-09-13T00:00:00"/>
        <s v="210228-006"/>
        <s v="200206-003"/>
        <d v="2020-05-24T00:00:00"/>
        <s v="211224-008"/>
        <s v="201206-003"/>
        <s v="221209-001"/>
        <d v="2022-05-24T00:00:00"/>
        <s v="210418-004"/>
        <s v="220628-006"/>
        <s v="210606-003"/>
        <s v="200819-004"/>
        <s v="02월 23일"/>
        <s v="1월 14일"/>
        <s v="200118-004"/>
        <s v="220111-007"/>
        <s v="221117-004"/>
        <d v="2020-10-13T00:00:00"/>
        <d v="2021-10-13T00:00:00"/>
        <d v="2022-10-13T00:00:00"/>
        <s v="210328-006"/>
        <d v="2020-06-24T00:00:00"/>
        <d v="2022-06-24T00:00:00"/>
        <s v="210518-004"/>
        <s v="210704-004"/>
        <s v="200913-007"/>
        <s v="200917-005"/>
        <s v="200919-004"/>
        <s v="220918-004"/>
        <s v="200430-001"/>
        <s v="수입-20200120-001"/>
        <s v="211009-001"/>
        <s v="200218-004"/>
        <s v="220215-005"/>
        <s v="수입-20220123-001"/>
        <d v="2020-11-13T00:00:00"/>
        <d v="2021-11-13T00:00:00"/>
        <s v="수입-20210124-001"/>
        <d v="2022-11-13T00:00:00"/>
        <s v="220403-004"/>
        <s v="220407-002"/>
        <d v="2020-07-24T00:00:00"/>
        <d v="2021-07-24T00:00:00"/>
        <d v="2022-07-24T00:00:00"/>
        <s v="수입-20200126-001"/>
        <s v="수입-20220123-002"/>
        <s v="수입-20210124-002"/>
        <s v="200825-008"/>
        <s v="220828-006"/>
        <s v="200512-010"/>
        <s v="210930-001"/>
        <s v="210109-001"/>
        <s v="211107-002"/>
        <s v="200314-006"/>
        <d v="2020-12-13T00:00:00"/>
        <d v="2021-12-13T00:00:00"/>
        <s v="210528-006"/>
        <s v="200506-003"/>
        <s v="220509-001"/>
        <d v="2020-08-24T00:00:00"/>
        <d v="2021-08-24T00:00:00"/>
        <d v="2022-08-24T00:00:00"/>
        <s v="210718-004"/>
        <s v="수입-20221120-001"/>
        <s v="수입-20211121-001"/>
        <s v="수입-20201122-001"/>
        <s v="211019-003"/>
        <s v="210207-002"/>
        <s v="210209-001"/>
        <s v="수입-20221120-002"/>
        <s v="211209-001"/>
        <s v="수입-20211121-002"/>
        <d v="2021-01-03T00:00:00"/>
        <s v="200414-006"/>
        <s v="200416-005"/>
        <d v="2022-01-03T00:00:00"/>
        <s v="수입-20201122-002"/>
        <s v="200602-005"/>
        <s v="200604-004"/>
        <s v="220607-002"/>
        <d v="2020-09-24T00:00:00"/>
        <d v="2021-09-24T00:00:00"/>
        <d v="2022-09-24T00:00:00"/>
        <s v="수입-20221127-001"/>
        <s v="수입-20211128-001"/>
        <s v="수입-20201129-001"/>
        <s v="210117-004"/>
        <s v="수입-20221127-002"/>
        <s v="수입-20211128-002"/>
        <s v="210307-002"/>
        <s v="210309-001"/>
        <s v="수입-20201129-002"/>
        <s v="200512-007"/>
        <s v="200518-004"/>
        <s v="220517-004"/>
        <s v="220705-003"/>
        <d v="2020-10-24T00:00:00"/>
        <d v="2021-10-24T00:00:00"/>
        <s v="210221-012"/>
        <d v="2022-10-24T00:00:00"/>
        <s v="210916-005"/>
        <s v="200830-001"/>
        <s v="221002-004"/>
        <s v="200428-006"/>
        <s v="210403-004"/>
        <s v="210407-002"/>
        <d v="2020-03-03T00:00:00"/>
        <d v="2021-03-03T00:00:00"/>
        <s v="200614-006"/>
        <s v="200618-004"/>
        <s v="220619-003"/>
        <d v="2022-03-03T00:00:00"/>
        <s v="200802-005"/>
        <s v="200806-003"/>
        <s v="220807-002"/>
        <d v="2020-11-24T00:00:00"/>
        <d v="2021-11-24T00:00:00"/>
        <s v="210511-010"/>
        <s v="210127-006"/>
        <s v="200105-003"/>
        <s v="200107-002"/>
        <s v="220104-003"/>
        <s v="220106-002"/>
        <s v="220108-001"/>
        <s v="201101-005"/>
        <s v="201107-002"/>
        <s v="221108-001"/>
        <s v="210313-006"/>
        <s v="210319-003"/>
        <s v="210507-002"/>
        <d v="2020-04-03T00:00:00"/>
        <d v="2021-04-03T00:00:00"/>
        <s v="200716-005"/>
        <s v="220719-003"/>
        <d v="2022-04-03T00:00:00"/>
        <s v="200906-003"/>
        <d v="2020-12-24T00:00:00"/>
        <d v="2021-12-24T00:00:00"/>
        <d v="2022-12-24T00:00:00"/>
        <s v="201013-006"/>
        <s v="221016-004"/>
        <s v="210221-009"/>
        <s v="200209-001"/>
        <s v="220206-002"/>
        <s v="220208-001"/>
        <s v="221206-002"/>
        <s v="200628-006"/>
        <s v="210603-004"/>
        <s v="200121-012"/>
        <d v="2020-05-03T00:00:00"/>
        <d v="2021-05-03T00:00:00"/>
        <s v="200816-005"/>
        <d v="2022-05-03T00:00:00"/>
        <s v="수입-20220601-001"/>
        <d v="2021-01-14T00:00:00"/>
        <d v="2022-01-14T00:00:00"/>
        <s v="수입-20210602-001"/>
        <s v="수입-20200603-001"/>
        <s v="210711-010"/>
        <s v="220116-004"/>
        <s v="수입-20220605-001"/>
        <s v="201119-003"/>
        <s v="수입-20210606-001"/>
        <s v="200303-004"/>
        <s v="200307-002"/>
        <s v="220306-002"/>
        <s v="220308-001"/>
        <s v="수입-20200607-001"/>
        <s v="210511-007"/>
        <s v="210513-006"/>
        <s v="210515-005"/>
        <s v="수입-20220605-002"/>
        <s v="수입-20210606-002"/>
        <s v="210703-004"/>
        <s v="210709-001"/>
        <s v="수입-20200607-002"/>
        <s v="수입-20220608-001"/>
        <d v="2020-06-03T00:00:00"/>
        <s v="수입-20210609-001"/>
        <d v="2021-06-03T00:00:00"/>
        <s v="200914-006"/>
        <s v="수입-20210207-002 "/>
        <d v="2021-02-14T00:00:00"/>
        <d v="2022-02-14T00:00:00"/>
        <s v="201213-006"/>
        <s v="201217-004"/>
        <s v="210425-007"/>
        <s v="200407-002"/>
        <s v="220408-001"/>
        <s v="210613-006"/>
        <s v="210617-004"/>
        <d v="2022-07-03T00:00:00"/>
        <d v="2021-03-14T00:00:00"/>
        <s v="200121-009"/>
        <s v="210106-002"/>
        <s v="210108-001"/>
        <s v="201127-006"/>
        <s v="201129-005"/>
        <s v="210523-008"/>
        <s v="200509-001"/>
        <s v="220506-002"/>
        <s v="220508-001"/>
        <s v="210711-007"/>
        <s v="200928-006"/>
        <s v="210907-002"/>
        <d v="2021-08-03T00:00:00"/>
        <d v="2022-08-03T00:00:00"/>
        <d v="2020-04-14T00:00:00"/>
        <d v="2021-04-14T00:00:00"/>
        <d v="2022-04-14T00:00:00"/>
        <s v="210206-002"/>
        <s v="211208-001"/>
        <s v="200609-001"/>
        <s v="03월 21일"/>
        <d v="2021-09-03T00:00:00"/>
        <d v="2022-09-03T00:00:00"/>
        <d v="2020-05-14T00:00:00"/>
        <d v="2022-05-14T00:00:00"/>
        <d v="2021-01-25T00:00:00"/>
        <d v="2022-01-25T00:00:00"/>
        <s v="210116-004"/>
        <s v="211118-003"/>
        <s v="200519-003"/>
        <s v="210729-005"/>
        <s v="200705-003"/>
        <s v="200709-001"/>
        <s v="211224-010"/>
        <s v="수입-20200910-001"/>
        <d v="2021-10-03T00:00:00"/>
        <d v="2020-06-14T00:00:00"/>
        <s v="수입-20220911-001"/>
        <d v="2021-06-14T00:00:00"/>
        <s v="수입-20210912-001"/>
        <d v="2021-02-25T00:00:00"/>
        <d v="2022-02-25T00:00:00"/>
        <s v="수입-20200913-001"/>
        <s v="210214-005"/>
        <s v="210404-003"/>
        <s v="210406-002"/>
        <s v="210408-001"/>
        <s v="수입-20220914-001"/>
        <s v="수입-20210915-001"/>
        <s v="200617-004"/>
        <s v="수입-20200916-001"/>
        <s v="200809-001"/>
        <s v="수입-20220918-001"/>
        <d v="2021-11-03T00:00:00"/>
        <s v="수입-20210919-001"/>
        <d v="2022-11-03T00:00:00"/>
        <d v="2020-03-25T00:00:00"/>
        <d v="2021-03-25T00:00:00"/>
        <d v="2022-03-25T00:00:00"/>
        <s v="220107-001"/>
        <s v="수입-20220918-002"/>
        <s v="201104-003"/>
        <s v="221103-003"/>
        <s v="221105-002"/>
        <s v="210316-004"/>
        <s v="210502-004"/>
        <s v="210508-001"/>
        <s v="200719-003"/>
        <s v="200901-005"/>
        <s v="220904-003"/>
        <s v="220908-001"/>
        <s v="200825-010"/>
        <d v="2021-12-03T00:00:00"/>
        <d v="2022-12-03T00:00:00"/>
        <d v="2020-08-14T00:00:00"/>
        <d v="2021-08-14T00:00:00"/>
        <d v="2022-08-14T00:00:00"/>
        <s v="201016-004"/>
        <s v="201018-003"/>
        <s v="221017-003"/>
        <d v="2020-04-25T00:00:00"/>
        <d v="2021-04-25T00:00:00"/>
        <d v="2022-04-25T00:00:00"/>
        <s v="210228-005"/>
        <s v="200206-002"/>
        <s v="211224-007"/>
        <s v="201204-003"/>
        <s v="201206-002"/>
        <s v="210418-003"/>
        <s v="220628-005"/>
        <s v="210606-002"/>
        <s v="200819-003"/>
        <s v="220818-003"/>
        <s v="02월 21일"/>
        <d v="2020-09-14T00:00:00"/>
        <s v="200114-005"/>
        <s v="200118-003"/>
        <s v="220111-006"/>
        <d v="2021-09-14T00:00:00"/>
        <d v="2022-09-14T00:00:00"/>
        <s v="221117-003"/>
        <d v="2020-05-25T00:00:00"/>
        <d v="2021-05-25T00:00:00"/>
        <d v="2022-05-25T00:00:00"/>
        <s v="210324-007"/>
        <s v="210328-005"/>
        <s v="210518-003"/>
        <s v="210704-003"/>
        <s v="200913-006"/>
        <s v="200917-004"/>
        <s v="200919-003"/>
        <s v="220918-003"/>
        <d v="2020-10-14T00:00:00"/>
        <s v="200214-005"/>
        <s v="200218-003"/>
        <s v="220215-004"/>
        <d v="2021-10-14T00:00:00"/>
        <d v="2022-10-14T00:00:00"/>
        <d v="2020-06-25T00:00:00"/>
        <d v="2021-06-25T00:00:00"/>
        <d v="2022-06-25T00:00:00"/>
        <s v="220403-003"/>
        <s v="220407-001"/>
        <s v="200825-007"/>
        <s v="220828-005"/>
        <s v="수입-20220116-001"/>
        <s v="수입-20210117-001"/>
        <s v="수입-20200119-001"/>
        <s v="수입-20220116-002"/>
        <s v="수입-20210117-002"/>
        <s v="211107-001"/>
        <d v="2020-11-14T00:00:00"/>
        <s v="200314-005"/>
        <s v="220317-003"/>
        <d v="2021-11-14T00:00:00"/>
        <d v="2020-07-25T00:00:00"/>
        <d v="2021-07-25T00:00:00"/>
        <d v="2022-07-25T00:00:00"/>
        <s v="210528-005"/>
        <s v="200506-002"/>
        <s v="210718-003"/>
        <s v="211015-004"/>
        <s v="211019-002"/>
        <s v="210207-001"/>
        <s v="201220-009"/>
        <s v="200414-005"/>
        <s v="200416-004"/>
        <s v="220419-002"/>
        <d v="2021-12-14T00:00:00"/>
        <s v="수입-20221113-001"/>
        <d v="2022-12-14T00:00:00"/>
        <d v="2020-08-25T00:00:00"/>
        <s v="수입-20211114-001"/>
        <d v="2021-08-25T00:00:00"/>
        <d v="2022-08-25T00:00:00"/>
        <s v="210620-009"/>
        <s v="200602-004"/>
        <s v="200604-003"/>
        <s v="200608-001"/>
        <s v="220607-001"/>
        <s v="수입-20201115-001"/>
        <s v="03월 20일"/>
        <s v="수입-20221113-002"/>
        <s v="수입-20211114-002"/>
        <s v="수입-20201115-002"/>
        <s v="210117-003"/>
        <s v="210307-001"/>
        <d v="2021-01-04T00:00:00"/>
        <d v="2022-01-04T00:00:00"/>
        <s v="200512-006"/>
        <s v="200518-003"/>
        <s v="220517-003"/>
        <d v="2020-09-25T00:00:00"/>
        <d v="2021-09-25T00:00:00"/>
        <d v="2022-09-25T00:00:00"/>
        <s v="220705-002"/>
        <s v="210221-011"/>
        <s v="210916-004"/>
        <s v="221002-003"/>
        <s v="221006-001"/>
        <s v="200428-005"/>
        <s v="210403-003"/>
        <s v="210407-001"/>
        <s v="200614-005"/>
        <s v="200618-003"/>
        <s v="220619-002"/>
        <d v="2020-10-25T00:00:00"/>
        <d v="2021-10-25T00:00:00"/>
        <d v="2022-10-25T00:00:00"/>
        <s v="200802-004"/>
        <s v="200806-002"/>
        <s v="220807-001"/>
        <s v="210127-005"/>
        <s v="200105-002"/>
        <s v="200107-001"/>
        <s v="220104-002"/>
        <s v="220106-001"/>
        <s v="수입-20220420-001"/>
        <s v="201101-004"/>
        <s v="201107-001"/>
        <s v="210311-006"/>
        <s v="210313-005"/>
        <s v="210319-002"/>
        <s v="220529-004"/>
        <s v="210507-001"/>
        <d v="2021-03-04T00:00:00"/>
        <d v="2022-03-04T00:00:00"/>
        <s v="200712-006"/>
        <s v="200716-004"/>
        <s v="220719-002"/>
        <d v="2020-11-25T00:00:00"/>
        <d v="2021-11-25T00:00:00"/>
        <d v="2022-11-25T00:00:00"/>
        <s v="200906-002"/>
        <s v="220901-004"/>
        <s v="수입-20200425-001"/>
        <s v="수입-20220424-001"/>
        <s v="수입-20210425-001"/>
        <s v="수입-20200426-001"/>
        <s v="수입-20200425-002"/>
        <s v="수입-20220424-002"/>
        <s v="수입-20200426-002"/>
        <s v="수입-20220427-001"/>
        <s v="201013-005"/>
        <s v="221016-003"/>
        <s v="수입-20210428-001"/>
        <s v="210221-008"/>
        <s v="220206-001"/>
        <s v="221206-001"/>
        <s v="200628-005"/>
        <s v="210601-004"/>
        <s v="210603-003"/>
        <d v="2020-04-04T00:00:00"/>
        <s v="200121-011"/>
        <d v="2021-04-04T00:00:00"/>
        <s v="200816-004"/>
        <d v="2020-12-25T00:00:00"/>
        <d v="2021-12-25T00:00:00"/>
        <d v="2022-12-25T00:00:00"/>
        <s v="200115-004"/>
        <s v="200117-003"/>
        <s v="220116-003"/>
        <s v="201111-006"/>
        <s v="201119-002"/>
        <s v="210321-008"/>
        <s v="200303-003"/>
        <s v="200307-001"/>
        <s v="220302-003"/>
        <s v="220306-001"/>
        <s v="210511-006"/>
        <s v="210513-005"/>
        <s v="210515-004"/>
        <s v="220725-006"/>
        <s v="210703-003"/>
        <s v="210707-001"/>
        <d v="2020-05-04T00:00:00"/>
        <d v="2021-05-04T00:00:00"/>
        <d v="2022-05-04T00:00:00"/>
        <s v="200914-005"/>
        <d v="2021-01-15T00:00:00"/>
        <d v="2022-01-15T00:00:00"/>
        <s v="200830-014"/>
        <s v="201023-007"/>
        <s v="201211-006"/>
        <s v="201213-005"/>
        <s v="201217-003"/>
        <s v="210425-006"/>
        <s v="200407-001"/>
        <s v="210613-005"/>
        <s v="210617-003"/>
        <s v="210619-002"/>
        <d v="2021-06-04T00:00:00"/>
        <d v="2022-06-04T00:00:00"/>
        <d v="2021-02-15T00:00:00"/>
        <d v="2022-02-15T00:00:00"/>
        <s v="200121-008"/>
        <s v="210106-001"/>
        <s v="201127-005"/>
        <s v="201129-004"/>
        <s v="200315-004"/>
        <s v="210523-007"/>
        <s v="220506-001"/>
        <s v="210711-006"/>
        <s v="200928-005"/>
        <s v="210907-001"/>
        <d v="2021-07-04T00:00:00"/>
        <d v="2022-07-04T00:00:00"/>
        <d v="2021-03-15T00:00:00"/>
        <d v="2022-03-15T00:00:00"/>
        <s v="200225-006"/>
        <s v="210206-001"/>
        <s v="220606-001"/>
        <s v="210819-002"/>
        <s v="수입-20220731-001"/>
        <d v="2022-08-04T00:00:00"/>
        <d v="2020-04-15T00:00:00"/>
        <d v="2021-04-15T00:00:00"/>
        <d v="2022-04-15T00:00:00"/>
        <s v="210116-003"/>
        <s v="211118-002"/>
        <s v="200519-002"/>
        <s v="210729-004"/>
        <s v="200701-004"/>
        <s v="200703-003"/>
        <s v="200705-002"/>
        <d v="2020-09-04T00:00:00"/>
        <d v="2021-09-04T00:00:00"/>
        <d v="2022-09-04T00:00:00"/>
        <d v="2020-05-15T00:00:00"/>
        <s v="수입-20210901-001"/>
        <d v="2021-05-15T00:00:00"/>
        <d v="2022-05-15T00:00:00"/>
        <d v="2020-01-26T00:00:00"/>
        <d v="2021-01-26T00:00:00"/>
        <d v="2022-01-26T00:00:00"/>
        <s v="211024-006"/>
        <s v="210214-004"/>
        <s v="210216-003"/>
        <s v="210218-002"/>
        <s v="수입-20210502-002 "/>
        <s v="210404-002"/>
        <s v="210406-001"/>
        <s v="수입-20220904-001"/>
        <s v="수입-20210905-001"/>
        <s v="200617-003"/>
        <s v="수입-20220904-002"/>
        <s v="수입-20210905-002"/>
        <s v="수입-20220907-001"/>
        <s v="수입-20210908-001"/>
        <d v="2020-10-04T00:00:00"/>
        <d v="2021-10-04T00:00:00"/>
        <d v="2022-10-04T00:00:00"/>
        <d v="2020-06-15T00:00:00"/>
        <d v="2021-06-15T00:00:00"/>
        <d v="2022-06-15T00:00:00"/>
        <d v="2021-02-26T00:00:00"/>
        <d v="2022-02-26T00:00:00"/>
        <s v="220105-001"/>
        <s v="211128-004"/>
        <s v="201104-002"/>
        <s v="201106-001"/>
        <s v="221103-002"/>
        <s v="221105-001"/>
        <s v="210316-003"/>
        <s v="210502-003"/>
        <s v="210504-002"/>
        <s v="210506-001"/>
        <s v="200719-002"/>
        <s v="200901-004"/>
        <s v="220904-002"/>
        <d v="2020-11-04T00:00:00"/>
        <d v="2020-07-15T00:00:00"/>
        <d v="2021-07-15T00:00:00"/>
        <d v="2022-07-15T00:00:00"/>
        <d v="2020-03-26T00:00:00"/>
        <s v="201016-003"/>
        <s v="201018-002"/>
        <s v="221017-002"/>
        <d v="2022-03-26T00:00:00"/>
        <s v="210228-004"/>
        <s v="200206-001"/>
        <s v="211224-006"/>
        <s v="201204-002"/>
        <s v="201206-001"/>
        <s v="210418-002"/>
        <s v="220628-004"/>
        <s v="210606-001"/>
        <s v="200819-002"/>
        <s v="220818-002"/>
        <d v="2021-12-04T00:00:00"/>
        <d v="2022-12-04T00:00:00"/>
        <d v="2020-08-15T00:00:00"/>
        <d v="2021-08-15T00:00:00"/>
        <d v="2022-08-15T00:00:00"/>
        <s v="200114-004"/>
        <s v="200118-002"/>
        <s v="220111-005"/>
        <s v="220113-004"/>
        <d v="2020-04-26T00:00:00"/>
        <s v="221117-002"/>
        <d v="2022-04-26T00:00:00"/>
        <s v="210324-006"/>
        <s v="210328-004"/>
        <s v="210518-002"/>
        <s v="210704-002"/>
        <s v="200913-005"/>
        <s v="200917-003"/>
        <s v="200919-002"/>
        <s v="220918-002"/>
        <s v="210620-011"/>
        <s v="수입-20220102-001"/>
        <d v="2020-09-15T00:00:00"/>
        <d v="2021-09-15T00:00:00"/>
        <s v="수입-20210103-001"/>
        <d v="2022-09-15T00:00:00"/>
        <s v="200214-004"/>
        <s v="200218-002"/>
        <s v="220215-003"/>
        <d v="2020-05-26T00:00:00"/>
        <d v="2021-05-26T00:00:00"/>
        <s v="221211-005"/>
        <s v="221219-001"/>
        <d v="2022-05-26T00:00:00"/>
        <s v="220403-002"/>
        <s v="수입-20220102-002"/>
        <s v="수입-20220105-001"/>
        <s v="200825-006"/>
        <s v="220828-004"/>
        <s v="1월 15일"/>
        <s v="수입-20220109-001"/>
        <d v="2020-10-15T00:00:00"/>
        <d v="2021-10-15T00:00:00"/>
        <d v="2022-10-15T00:00:00"/>
        <s v="200314-004"/>
        <s v="220317-002"/>
        <d v="2020-06-26T00:00:00"/>
        <s v="수입-20220109-002"/>
        <d v="2021-06-26T00:00:00"/>
        <d v="2022-06-26T00:00:00"/>
        <s v="210528-004"/>
        <s v="200506-001"/>
        <s v="220503-002"/>
        <s v="210718-002"/>
        <s v="수입-20201101-001"/>
        <s v="211015-003"/>
        <s v="211017-002"/>
        <s v="211019-001"/>
        <s v="수입-20201101-002"/>
        <s v="201220-008"/>
        <s v="221225-005"/>
        <s v="221229-003"/>
        <d v="2020-11-15T00:00:00"/>
        <d v="2021-11-15T00:00:00"/>
        <s v="수입-20211103-001"/>
        <d v="2022-11-15T00:00:00"/>
        <s v="200414-004"/>
        <s v="200416-003"/>
        <s v="200418-002"/>
        <s v="220419-001"/>
        <d v="2020-07-26T00:00:00"/>
        <s v="수입-20201104-001"/>
        <d v="2021-07-26T00:00:00"/>
        <d v="2022-07-26T00:00:00"/>
        <s v="210620-008"/>
        <s v="200602-003"/>
        <s v="200604-002"/>
        <s v="수입-20221106-001"/>
        <s v="수입-20211107-001"/>
        <s v="수입-20201108-001"/>
        <s v="수입-20221106-002"/>
        <s v="수입-20211107-002"/>
        <s v="210117-002"/>
        <s v="210119-001"/>
        <s v="수입-20201108-002"/>
        <s v="200324-006"/>
        <d v="2020-12-15T00:00:00"/>
        <d v="2021-12-15T00:00:00"/>
        <d v="2022-12-15T00:00:00"/>
        <s v="200512-005"/>
        <s v="200518-002"/>
        <s v="220517-002"/>
        <s v="220519-001"/>
        <d v="2020-08-26T00:00:00"/>
        <d v="2021-08-26T00:00:00"/>
        <d v="2022-08-26T00:00:00"/>
        <s v="200704-002"/>
        <s v="200706-001"/>
        <s v="220705-001"/>
        <s v="210221-010"/>
        <s v="210916-003"/>
        <s v="221002-002"/>
        <s v="210217-002"/>
        <s v="210219-001"/>
        <s v="211219-001"/>
        <d v="2021-01-05T00:00:00"/>
        <s v="200428-004"/>
        <d v="2022-01-05T00:00:00"/>
        <s v="210401-003"/>
        <s v="210403-002"/>
        <s v="210405-001"/>
        <s v="200614-004"/>
        <s v="200618-002"/>
        <s v="220619-001"/>
        <d v="2020-09-26T00:00:00"/>
        <d v="2021-09-26T00:00:00"/>
        <d v="2022-09-26T00:00:00"/>
        <s v="200802-003"/>
        <s v="200806-001"/>
        <s v="220803-002"/>
        <s v="220805-001"/>
        <s v="210127-004"/>
        <s v="200105-001"/>
        <s v="220104-001"/>
        <s v="수입-20200411-001"/>
        <s v="수입-20220410-001"/>
        <s v="201101-003"/>
        <s v="221104-001"/>
        <s v="수입-20210411-001"/>
        <s v="210311-005"/>
        <s v="210313-004"/>
        <s v="210317-002"/>
        <s v="210319-001"/>
        <s v="220529-003"/>
        <d v="2022-02-05T00:00:00"/>
        <s v="수입-20220410-002"/>
        <s v="수입-20210411-002"/>
        <s v="200712-005"/>
        <s v="200716-003"/>
        <s v="220719-001"/>
        <d v="2021-10-26T00:00:00"/>
        <d v="2022-10-26T00:00:00"/>
        <s v="200906-001"/>
        <s v="220901-003"/>
        <s v="수입-20200418-001"/>
        <s v="수입-20220417-001"/>
        <s v="201013-004"/>
        <s v="221016-002"/>
        <s v="수입-20210418-001"/>
        <s v="210221-007"/>
        <s v="210415-003"/>
        <s v="수입-20220417-002"/>
        <s v="수입-20210418-002"/>
        <d v="2021-03-05T00:00:00"/>
        <s v="200628-004"/>
        <d v="2022-03-05T00:00:00"/>
        <s v="210601-003"/>
        <s v="210603-002"/>
        <s v="200121-010"/>
        <s v="200816-003"/>
        <s v="220819-001"/>
        <d v="2020-11-26T00:00:00"/>
        <d v="2021-11-26T00:00:00"/>
        <d v="2022-11-26T00:00:00"/>
        <s v="200111-005"/>
        <s v="200115-003"/>
        <s v="200117-002"/>
        <s v="200119-001"/>
        <s v="220116-002"/>
        <s v="201111-005"/>
        <s v="201119-001"/>
        <s v="221118-001"/>
        <s v="210307-014"/>
        <s v="210321-007"/>
        <s v="200303-002"/>
        <s v="220302-002"/>
        <s v="210511-005"/>
        <s v="210513-004"/>
        <s v="210515-003"/>
        <d v="2020-04-05T00:00:00"/>
        <d v="2021-04-05T00:00:00"/>
        <s v="220725-005"/>
        <d v="2022-04-05T00:00:00"/>
        <s v="210703-002"/>
        <s v="200912-005"/>
        <s v="200918-002"/>
        <s v="220919-001"/>
        <d v="2020-12-26T00:00:00"/>
        <d v="2021-12-26T00:00:00"/>
        <s v="200830-013"/>
        <s v="201023-006"/>
        <s v="200213-004"/>
        <s v="220218-001"/>
        <s v="201211-005"/>
        <s v="201213-004"/>
        <s v="201217-002"/>
        <s v="201219-001"/>
        <s v="210425-005"/>
        <s v="210613-004"/>
        <s v="210617-002"/>
        <s v="210619-001"/>
        <d v="2020-05-05T00:00:00"/>
        <d v="2021-05-05T00:00:00"/>
        <d v="2022-05-05T00:00:00"/>
        <d v="2021-01-16T00:00:00"/>
        <d v="2022-01-16T00:00:00"/>
        <s v="200121-007"/>
        <s v="201127-004"/>
        <s v="201129-003"/>
        <s v="200315-003"/>
        <s v="210523-006"/>
        <s v="220504-001"/>
        <s v="210711-005"/>
        <d v="2020-06-05T00:00:00"/>
        <d v="2021-06-05T00:00:00"/>
        <s v="200928-004"/>
        <d v="2022-06-05T00:00:00"/>
        <d v="2020-02-16T00:00:00"/>
        <d v="2021-02-16T00:00:00"/>
        <d v="2022-02-16T00:00:00"/>
        <s v="200225-005"/>
        <s v="210202-002"/>
        <s v="210815-003"/>
        <s v="210819-001"/>
        <s v="수입-20200722-001"/>
        <d v="2020-07-05T00:00:00"/>
        <d v="2021-07-05T00:00:00"/>
        <d v="2022-07-05T00:00:00"/>
        <d v="2020-03-16T00:00:00"/>
        <d v="2022-03-16T00:00:00"/>
        <s v="수입-20220724-001"/>
        <s v="210112-004"/>
        <s v="210116-002"/>
        <s v="210118-001"/>
        <s v="수입-20200726-001"/>
        <s v="211118-001"/>
        <s v="수입-20220724-002"/>
        <s v="200519-001"/>
        <s v="수입-20200726-002"/>
        <s v="수입-20210728-001"/>
        <s v="210729-003"/>
        <s v="200701-003"/>
        <s v="200703-002"/>
        <s v="200705-001"/>
        <s v="220704-001"/>
        <s v="수입-20200729-001"/>
        <d v="2020-08-05T00:00:00"/>
        <d v="2022-08-05T00:00:00"/>
        <d v="2020-04-16T00:00:00"/>
        <d v="2021-04-16T00:00:00"/>
        <s v="211024-005"/>
        <s v="221001-002"/>
        <s v="210214-003"/>
        <s v="210216-002"/>
        <s v="210218-001"/>
        <s v="211214-003"/>
        <s v="211218-001"/>
        <s v="220428-003"/>
        <s v="210404-001"/>
        <s v="200617-002"/>
        <s v="220614-003"/>
        <s v="210829-003"/>
        <s v="200805-001"/>
        <d v="2020-09-05T00:00:00"/>
        <d v="2021-09-05T00:00:00"/>
        <d v="2022-09-05T00:00:00"/>
        <d v="2021-05-16T00:00:00"/>
        <d v="2022-05-16T00:00:00"/>
        <d v="2020-01-27T00:00:00"/>
        <d v="2021-01-27T00:00:00"/>
        <d v="2022-01-27T00:00:00"/>
        <s v="210122-006"/>
        <s v="211128-003"/>
        <s v="201104-001"/>
        <s v="221103-001"/>
        <s v="210316-002"/>
        <s v="210318-001"/>
        <s v="210502-002"/>
        <s v="210504-001"/>
        <s v="200719-001"/>
        <s v="1월 10일"/>
        <s v="200901-003"/>
        <s v="200905-001"/>
        <s v="220904-001"/>
        <d v="2020-10-05T00:00:00"/>
        <d v="2021-10-05T00:00:00"/>
        <d v="2022-10-05T00:00:00"/>
        <d v="2020-06-16T00:00:00"/>
        <d v="2021-06-16T00:00:00"/>
        <d v="2022-06-16T00:00:00"/>
        <d v="2021-02-27T00:00:00"/>
        <d v="2022-02-27T00:00:00"/>
        <s v="201016-002"/>
        <s v="201018-001"/>
        <s v="221017-001"/>
        <s v="210228-003"/>
        <s v="211224-005"/>
        <s v="201204-001"/>
        <s v="210410-005"/>
        <s v="210418-001"/>
        <s v="220628-003"/>
        <s v="210604-001"/>
        <s v="200819-001"/>
        <s v="220818-001"/>
        <s v="1월 20일"/>
        <d v="2021-11-05T00:00:00"/>
        <d v="2022-11-05T00:00:00"/>
        <d v="2020-07-16T00:00:00"/>
        <d v="2021-07-16T00:00:00"/>
        <d v="2022-07-16T00:00:00"/>
        <d v="2020-03-27T00:00:00"/>
        <d v="2021-03-27T00:00:00"/>
        <d v="2022-03-27T00:00:00"/>
        <s v="200114-003"/>
        <s v="200118-001"/>
        <s v="220111-004"/>
        <s v="220113-003"/>
        <s v="221117-001"/>
        <s v="210324-005"/>
        <s v="210328-003"/>
        <s v="210518-001"/>
        <s v="210704-001"/>
        <s v="200913-004"/>
        <s v="200917-002"/>
        <s v="200919-001"/>
        <s v="220918-001"/>
        <s v="210620-010"/>
        <d v="2021-12-05T00:00:00"/>
        <d v="2022-12-05T00:00:00"/>
        <d v="2020-08-16T00:00:00"/>
        <d v="2021-08-16T00:00:00"/>
        <d v="2021-04-27T00:00:00"/>
        <d v="2022-04-27T00:00:00"/>
        <s v="200214-003"/>
        <s v="200218-001"/>
        <s v="220215-002"/>
        <s v="201218-001"/>
        <s v="221211-004"/>
        <s v="200404-001"/>
        <s v="220403-001"/>
        <s v="200825-005"/>
        <s v="220828-003"/>
        <d v="2020-09-16T00:00:00"/>
        <s v="220127-003"/>
        <d v="2021-09-16T00:00:00"/>
        <d v="2022-09-16T00:00:00"/>
        <d v="2020-05-27T00:00:00"/>
        <d v="2022-05-27T00:00:00"/>
        <s v="200312-004"/>
        <s v="200314-003"/>
        <s v="220317-001"/>
        <s v="210528-003"/>
        <s v="220503-001"/>
        <s v="수입-20210801-002 "/>
        <s v="210716-002"/>
        <s v="210718-001"/>
        <s v="211015-002"/>
        <s v="211017-001"/>
        <d v="2020-10-16T00:00:00"/>
        <s v="200220-007"/>
        <d v="2022-10-16T00:00:00"/>
        <s v="201220-007"/>
        <s v="221225-004"/>
        <s v="221229-002"/>
        <s v="211201-002"/>
        <d v="2021-06-27T00:00:00"/>
        <s v="200414-003"/>
        <s v="200416-002"/>
        <s v="200418-001"/>
        <s v="210620-007"/>
        <s v="200602-002"/>
        <s v="200604-001"/>
        <s v="200130-009"/>
        <s v="210117-001"/>
        <s v="211111-004"/>
        <s v="200324-005"/>
        <d v="2021-11-16T00:00:00"/>
        <s v="210303-001"/>
        <d v="2022-11-16T00:00:00"/>
        <d v="2020-07-27T00:00:00"/>
        <s v="200512-004"/>
        <s v="200518-001"/>
        <s v="220517-001"/>
        <s v="200704-001"/>
        <s v="210912-004"/>
        <s v="210916-002"/>
        <s v="221002-001"/>
        <s v="210217-001"/>
        <d v="2020-12-16T00:00:00"/>
        <s v="200422-006"/>
        <s v="200428-003"/>
        <s v="210401-002"/>
        <s v="210403-001"/>
        <d v="2022-12-16T00:00:00"/>
        <d v="2020-08-27T00:00:00"/>
        <d v="2022-08-27T00:00:00"/>
        <s v="210630-009"/>
        <s v="200614-003"/>
        <s v="200618-001"/>
        <s v="200802-002"/>
        <s v="200804-001"/>
        <s v="220803-001"/>
        <s v="210127-003"/>
        <s v="201101-002"/>
        <s v="201103-001"/>
        <s v="210311-004"/>
        <s v="210313-003"/>
        <s v="210317-001"/>
        <d v="2021-01-06T00:00:00"/>
        <d v="2022-01-06T00:00:00"/>
        <s v="200526-004"/>
        <s v="220529-002"/>
        <d v="2020-09-27T00:00:00"/>
        <d v="2021-09-27T00:00:00"/>
        <d v="2022-09-27T00:00:00"/>
        <s v="200712-004"/>
        <s v="200716-002"/>
        <s v="수입-20220403-001"/>
        <s v="수입-20210404-001"/>
        <s v="220901-002"/>
        <s v="수입-20220406-001"/>
        <s v="201013-003"/>
        <s v="221016-001"/>
        <s v="210221-006"/>
        <s v="200201-002"/>
        <s v="201201-002"/>
        <s v="210415-002"/>
        <s v="210417-001"/>
        <d v="2021-02-06T00:00:00"/>
        <d v="2022-02-06T00:00:00"/>
        <s v="200628-003"/>
        <s v="210601-002"/>
        <s v="210603-001"/>
        <d v="2020-10-27T00:00:00"/>
        <d v="2021-10-27T00:00:00"/>
        <s v="200816-002"/>
        <s v="200818-001"/>
        <s v="220817-001"/>
        <s v="200111-004"/>
        <s v="200115-002"/>
        <s v="200117-001"/>
        <s v="220116-001"/>
        <s v="201111-004"/>
        <s v="221116-001"/>
        <s v="210307-013"/>
        <s v="210321-006"/>
        <s v="200303-001"/>
        <s v="220302-001"/>
        <s v="210511-004"/>
        <s v="210513-003"/>
        <s v="210515-002"/>
        <d v="2022-03-06T00:00:00"/>
        <s v="200726-004"/>
        <s v="220725-004"/>
        <s v="210703-001"/>
        <d v="2020-11-27T00:00:00"/>
        <d v="2022-11-27T00:00:00"/>
        <s v="수입-20211003-001 "/>
        <s v="200912-004"/>
        <s v="200918-001"/>
        <s v="200830-012"/>
        <s v="201023-005"/>
        <s v="201025-004"/>
        <s v="200213-003"/>
        <s v="200215-002"/>
        <s v="201211-004"/>
        <s v="201213-003"/>
        <s v="201217-001"/>
        <s v="210425-004"/>
        <s v="200401-002"/>
        <s v="220402-001"/>
        <s v="210613-003"/>
        <s v="210617-001"/>
        <d v="2020-04-06T00:00:00"/>
        <d v="2021-04-06T00:00:00"/>
        <s v="210801-002"/>
        <d v="2020-12-27T00:00:00"/>
        <d v="2021-12-27T00:00:00"/>
        <d v="2022-12-27T00:00:00"/>
        <s v="200121-006"/>
        <s v="200123-005"/>
        <s v="201127-003"/>
        <s v="201129-002"/>
        <s v="221126-003"/>
        <s v="221128-002"/>
        <s v="200315-002"/>
        <s v="220316-001"/>
        <s v="210523-005"/>
        <s v="210527-003"/>
        <s v="200501-002"/>
        <s v="210711-004"/>
        <d v="2020-05-06T00:00:00"/>
        <d v="2021-05-06T00:00:00"/>
        <d v="2022-05-06T00:00:00"/>
        <s v="200924-005"/>
        <s v="200928-003"/>
        <s v="220929-002"/>
        <d v="2021-01-17T00:00:00"/>
        <d v="2022-01-17T00:00:00"/>
        <s v="201013-017"/>
        <s v="200225-004"/>
        <s v="210202-001"/>
        <s v="220414-002"/>
        <s v="210623-005"/>
        <s v="220602-001"/>
        <s v="수입-20220710-001"/>
        <s v="수입-20210711-001"/>
        <s v="200830-009"/>
        <s v="210815-002"/>
        <s v="수입-20200712-001"/>
        <d v="2021-06-06T00:00:00"/>
        <d v="2021-02-17T00:00:00"/>
        <s v="수입-20220710-002"/>
        <s v="수입-20210711-002"/>
        <s v="수입-20200712-002"/>
        <s v="수입-20220713-001"/>
        <s v="수입-20200715-001"/>
        <s v="210112-003"/>
        <s v="210116-001"/>
        <s v="200517-001"/>
        <s v="220516-001"/>
        <s v="수입-20220717-001"/>
        <s v="수입-20210718-001"/>
        <s v="210729-002"/>
        <s v="200701-002"/>
        <s v="200703-001"/>
        <s v="수입-20200719-001"/>
        <d v="2020-07-06T00:00:00"/>
        <s v="수입-20220717-002"/>
        <d v="2021-07-06T00:00:00"/>
        <d v="2022-07-06T00:00:00"/>
        <s v="수입-20210718-002"/>
        <d v="2020-03-17T00:00:00"/>
        <d v="2021-03-17T00:00:00"/>
        <d v="2022-03-17T00:00:00"/>
        <s v="수입-20200719-002"/>
        <s v="211024-004"/>
        <s v="201002-001"/>
        <s v="221001-001"/>
        <s v="210214-002"/>
        <s v="210216-001"/>
        <s v="211214-002"/>
        <s v="200421-006"/>
        <s v="220428-002"/>
        <s v="210402-001"/>
        <s v="200611-004"/>
        <s v="200617-001"/>
        <s v="220614-002"/>
        <s v="210829-002"/>
        <d v="2020-08-06T00:00:00"/>
        <d v="2021-08-06T00:00:00"/>
        <d v="2020-04-17T00:00:00"/>
        <d v="2021-04-17T00:00:00"/>
        <d v="2022-04-17T00:00:00"/>
        <s v="210122-005"/>
        <s v="210124-004"/>
        <s v="211128-002"/>
        <s v="210316-001"/>
        <s v="220524-004"/>
        <s v="210502-001"/>
        <s v="200715-002"/>
        <s v="220712-003"/>
        <s v="220714-002"/>
        <s v="200901-002"/>
        <s v="220902-001"/>
        <d v="2020-09-06T00:00:00"/>
        <d v="2021-09-06T00:00:00"/>
        <d v="2020-05-17T00:00:00"/>
        <d v="2021-05-17T00:00:00"/>
        <d v="2022-05-17T00:00:00"/>
        <d v="2020-01-28T00:00:00"/>
        <d v="2022-01-28T00:00:00"/>
        <s v="201016-001"/>
        <s v="221015-001"/>
        <s v="210228-002"/>
        <s v="211224-004"/>
        <s v="221201-001"/>
        <s v="210410-004"/>
        <s v="210414-002"/>
        <s v="210416-001"/>
        <s v="200623-005"/>
        <s v="220628-002"/>
        <d v="2020-10-06T00:00:00"/>
        <d v="2022-10-06T00:00:00"/>
        <d v="2020-06-17T00:00:00"/>
        <d v="2022-06-17T00:00:00"/>
        <d v="2021-02-28T00:00:00"/>
        <d v="2022-02-28T00:00:00"/>
        <s v="200112-003"/>
        <s v="200114-002"/>
        <s v="220111-003"/>
        <s v="220113-002"/>
        <s v="221113-002"/>
        <s v="210324-004"/>
        <s v="210328-002"/>
        <s v="200723-005"/>
        <s v="200913-003"/>
        <s v="200917-001"/>
        <s v="220916-001"/>
        <d v="2020-11-06T00:00:00"/>
        <d v="2021-11-06T00:00:00"/>
        <d v="2022-11-06T00:00:00"/>
        <d v="2020-07-17T00:00:00"/>
        <d v="2021-07-17T00:00:00"/>
        <d v="2022-07-17T00:00:00"/>
        <d v="2020-03-28T00:00:00"/>
        <d v="2021-03-28T00:00:00"/>
        <s v="221027-002"/>
        <d v="2022-03-28T00:00:00"/>
        <s v="200214-002"/>
        <s v="220215-001"/>
        <s v="201216-001"/>
        <s v="221211-003"/>
        <s v="221215-001"/>
        <s v="200130-011"/>
        <s v="200825-004"/>
        <s v="220828-002"/>
        <d v="2020-12-06T00:00:00"/>
        <d v="2021-12-06T00:00:00"/>
        <d v="2022-12-06T00:00:00"/>
        <d v="2020-08-17T00:00:00"/>
        <d v="2021-08-17T00:00:00"/>
        <s v="200128-002"/>
        <s v="220127-002"/>
        <d v="2020-04-28T00:00:00"/>
        <d v="2021-04-28T00:00:00"/>
        <s v="201122-005"/>
        <d v="2022-04-28T00:00:00"/>
        <s v="200312-003"/>
        <s v="200314-002"/>
        <s v="210520-006"/>
        <s v="210528-002"/>
        <s v="210714-002"/>
        <s v="210716-001"/>
        <s v="211015-001"/>
        <d v="2021-09-17T00:00:00"/>
        <d v="2022-09-17T00:00:00"/>
        <s v="200220-006"/>
        <d v="2020-05-28T00:00:00"/>
        <s v="201220-006"/>
        <s v="221225-003"/>
        <s v="221227-002"/>
        <s v="221229-001"/>
        <s v="211201-001"/>
        <s v="200414-002"/>
        <s v="200416-001"/>
        <s v="210620-006"/>
        <s v="210626-003"/>
        <s v="200602-001"/>
        <s v="200130-008"/>
        <s v="211111-003"/>
        <d v="2020-10-17T00:00:00"/>
        <d v="2021-10-17T00:00:00"/>
        <d v="2022-10-17T00:00:00"/>
        <s v="200320-006"/>
        <s v="200324-004"/>
        <s v="220329-001"/>
        <d v="2020-06-28T00:00:00"/>
        <d v="2021-06-28T00:00:00"/>
        <d v="2022-06-28T00:00:00"/>
        <s v="200512-003"/>
        <s v="210912-003"/>
        <s v="210916-001"/>
        <s v="수입-20220220-001"/>
        <s v="수입-20210221-001"/>
        <s v="수입-20210222-001"/>
        <s v="수입-20200223-001"/>
        <s v="수입-20220220-002"/>
        <s v="210215-001"/>
        <s v="수입-20220223-001"/>
        <d v="2020-11-17T00:00:00"/>
        <d v="2021-11-17T00:00:00"/>
        <d v="2022-11-17T00:00:00"/>
        <s v="200422-005"/>
        <s v="200428-002"/>
        <s v="210401-001"/>
        <d v="2021-07-28T00:00:00"/>
        <d v="2022-07-28T00:00:00"/>
        <s v="수입-20210225-001"/>
        <s v="210630-008"/>
        <s v="200614-002"/>
        <s v="220611-003"/>
        <s v="200802-001"/>
        <s v="220801-001"/>
        <s v="수입-20220227-001"/>
        <s v="수입-20210228-001"/>
        <s v="수입-20220227-002"/>
        <s v="수입-20210228-002"/>
        <s v="210127-002"/>
        <s v="201101-001"/>
        <s v="210311-003"/>
        <s v="210313-002"/>
        <s v="210315-001"/>
        <s v=" 수입-20211017-002"/>
        <d v="2020-12-17T00:00:00"/>
        <d v="2021-12-17T00:00:00"/>
        <d v="2022-12-17T00:00:00"/>
        <s v="200526-003"/>
        <s v="200528-002"/>
        <s v="220529-001"/>
        <d v="2021-08-28T00:00:00"/>
        <d v="2022-08-28T00:00:00"/>
        <s v="200712-003"/>
        <s v="200716-001"/>
        <s v="220901-001"/>
        <s v="수입-20201220-001"/>
        <s v="수입-20201220-002"/>
        <s v="201013-002"/>
        <s v="221012-002"/>
        <s v="221014-001"/>
        <s v="수입-20211222-001"/>
        <s v="210221-005"/>
        <s v="수입-20201223-001"/>
        <s v="200201-001"/>
        <s v="201201-001"/>
        <d v="2021-01-07T00:00:00"/>
        <d v="2022-01-07T00:00:00"/>
        <s v="210415-001"/>
        <s v="200628-002"/>
        <d v="2020-09-28T00:00:00"/>
        <s v="210601-001"/>
        <d v="2021-09-28T00:00:00"/>
        <d v="2022-09-28T00:00:00"/>
        <s v="200814-002"/>
        <s v="200816-001"/>
        <s v="220815-001"/>
        <s v="수입-20211226-001"/>
        <s v="수입-20201227-001"/>
        <s v="수입-20211229-001"/>
        <s v="200111-003"/>
        <s v="200115-001"/>
        <s v="201111-003"/>
        <s v="210307-012"/>
        <s v="210321-005"/>
        <s v="200301-001"/>
        <d v="2021-02-07T00:00:00"/>
        <d v="2022-02-07T00:00:00"/>
        <s v="210511-003"/>
        <s v="210513-002"/>
        <s v="210515-001"/>
        <s v="200726-003"/>
        <s v="220725-003"/>
        <d v="2020-10-28T00:00:00"/>
        <d v="2021-10-28T00:00:00"/>
        <d v="2022-10-28T00:00:00"/>
        <s v="200912-003"/>
        <s v="200916-001"/>
        <s v="220915-001"/>
        <s v="200830-011"/>
        <s v="201023-004"/>
        <s v="201025-003"/>
        <s v="201029-001"/>
        <s v="200213-002"/>
        <s v="200215-001"/>
        <s v="201211-003"/>
        <s v="201213-002"/>
        <s v="210425-003"/>
        <s v="200401-001"/>
        <s v="1월 13,14일"/>
        <d v="2021-03-07T00:00:00"/>
        <d v="2022-03-07T00:00:00"/>
        <s v="210613-002"/>
        <s v="210615-001"/>
        <s v="220821-005"/>
        <d v="2020-11-28T00:00:00"/>
        <s v="210801-001"/>
        <d v="2021-11-28T00:00:00"/>
        <d v="2022-11-28T00:00:00"/>
        <s v="수입-20210530-001"/>
        <s v="220607-009"/>
        <s v="200121-005"/>
        <s v="200123-004"/>
        <s v="수입-20200531-001"/>
        <s v="201127-002"/>
        <s v="201129-001"/>
        <s v="221126-002"/>
        <s v="221128-001"/>
        <s v="210319-013"/>
        <s v="200315-001"/>
        <s v="수입-20210530-002"/>
        <s v="210523-004"/>
        <s v="210527-002"/>
        <s v="200501-001"/>
        <s v="수입-20200531-002"/>
        <d v="2020-04-07T00:00:00"/>
        <d v="2021-04-07T00:00:00"/>
        <s v="210711-003"/>
        <s v="200924-004"/>
        <s v="200928-002"/>
        <s v="220929-001"/>
        <d v="2021-12-28T00:00:00"/>
        <d v="2022-12-28T00:00:00"/>
        <s v="210307-009"/>
        <s v="201013-016"/>
        <s v="200221-005"/>
        <s v="200225-003"/>
        <s v="200227-002"/>
        <s v="200229-001"/>
        <s v="220220-005"/>
        <s v="200413-002"/>
        <s v="220414-001"/>
        <s v="210623-004"/>
        <s v="200601-001"/>
        <s v="수입-20200701-001"/>
        <d v="2021-05-07T00:00:00"/>
        <s v="200830-008"/>
        <s v="210815-001"/>
        <d v="2021-01-18T00:00:00"/>
        <s v="수입-20220703-001"/>
        <s v="수입-20210704-001"/>
        <s v="수입-20200705-001"/>
        <s v="210112-002"/>
        <s v="수입-20220703-002"/>
        <s v="201119-013"/>
        <s v="수입-20210704-002"/>
        <s v="200327-002"/>
        <s v="수입-20200705-002"/>
        <s v="수입-20220706-001"/>
        <s v="수입-20210707-001"/>
        <s v="220512-002"/>
        <s v="210729-001"/>
        <s v="200701-001"/>
        <d v="2020-06-07T00:00:00"/>
        <d v="2021-06-07T00:00:00"/>
        <s v="수입-20210307-002 "/>
        <d v="2022-06-07T00:00:00"/>
        <d v="2021-02-18T00:00:00"/>
        <d v="2022-02-18T00:00:00"/>
        <s v="211024-003"/>
        <s v="211028-001"/>
        <s v="210214-001"/>
        <s v="211214-001"/>
        <s v="200421-005"/>
        <s v="200423-004"/>
        <s v="220428-001"/>
        <s v="200611-003"/>
        <s v="220612-002"/>
        <s v="220614-001"/>
        <s v="210829-001"/>
        <d v="2020-03-18T00:00:00"/>
        <d v="2021-03-18T00:00:00"/>
        <d v="2022-03-18T00:00:00"/>
        <s v="210122-004"/>
        <s v="210124-003"/>
        <s v="210126-002"/>
        <s v="211128-001"/>
        <s v="200527-002"/>
        <s v="220524-003"/>
        <s v="200715-001"/>
        <s v="220712-002"/>
        <s v="220714-001"/>
        <s v="200901-001"/>
        <d v="2020-08-07T00:00:00"/>
        <d v="2021-08-07T00:00:00"/>
        <d v="2022-08-07T00:00:00"/>
        <d v="2020-04-18T00:00:00"/>
        <d v="2021-04-18T00:00:00"/>
        <d v="2022-04-18T00:00:00"/>
        <s v="210228-001"/>
        <s v="211224-003"/>
        <s v="211226-002"/>
        <s v="210410-003"/>
        <s v="210414-001"/>
        <s v="200623-004"/>
        <s v="220628-001"/>
        <d v="2020-09-07T00:00:00"/>
        <d v="2021-09-07T00:00:00"/>
        <d v="2022-09-07T00:00:00"/>
        <d v="2021-05-18T00:00:00"/>
        <d v="2022-05-18T00:00:00"/>
        <d v="2020-01-29T00:00:00"/>
        <d v="2021-01-29T00:00:00"/>
        <d v="2022-01-29T00:00:00"/>
        <s v="200112-002"/>
        <s v="200114-001"/>
        <s v="220111-002"/>
        <s v="220113-001"/>
        <s v="201112-002"/>
        <s v="221113-001"/>
        <s v="210324-003"/>
        <s v="210326-002"/>
        <s v="210328-001"/>
        <s v="210514-001"/>
        <s v="200723-004"/>
        <s v="200729-001"/>
        <s v="200913-002"/>
        <d v="2021-10-07T00:00:00"/>
        <d v="2022-10-07T00:00:00"/>
        <d v="2020-06-18T00:00:00"/>
        <d v="2021-06-18T00:00:00"/>
        <d v="2022-06-18T00:00:00"/>
        <s v="201028-001"/>
        <s v="221027-001"/>
        <s v="200214-001"/>
        <s v="201214-001"/>
        <s v="221211-002"/>
        <s v="200130-010"/>
        <s v="200825-003"/>
        <s v="220828-001"/>
        <s v="1월 21일"/>
        <d v="2020-11-07T00:00:00"/>
        <d v="2021-11-07T00:00:00"/>
        <d v="2022-11-07T00:00:00"/>
        <d v="2020-07-18T00:00:00"/>
        <d v="2021-07-18T00:00:00"/>
        <d v="2022-07-18T00:00:00"/>
        <d v="2020-03-29T00:00:00"/>
        <d v="2022-03-29T00:00:00"/>
        <s v="200128-001"/>
        <s v="220121-004"/>
        <s v="220125-002"/>
        <s v="220127-001"/>
        <s v="201122-004"/>
        <s v="200312-002"/>
        <s v="200314-001"/>
        <s v="210520-005"/>
        <s v="210528-001"/>
        <s v="210714-001"/>
        <s v="210630-010"/>
        <d v="2020-12-07T00:00:00"/>
        <d v="2020-04-29T00:00:00"/>
        <d v="2021-04-29T00:00:00"/>
        <d v="2022-04-29T00:00:00"/>
        <s v="200220-005"/>
        <s v="201220-005"/>
        <s v="201224-003"/>
        <s v="221225-002"/>
        <s v="221227-001"/>
        <s v="200410-003"/>
        <s v="200414-001"/>
        <s v="210620-005"/>
        <s v="210624-003"/>
        <s v="210626-002"/>
        <s v="210810-003"/>
        <d v="2020-09-18T00:00:00"/>
        <s v="200130-007"/>
        <d v="2021-09-18T00:00:00"/>
        <d v="2022-09-18T00:00:00"/>
        <s v="211111-002"/>
        <d v="2020-05-29T00:00:00"/>
        <d v="2021-05-29T00:00:00"/>
        <d v="2022-05-29T00:00:00"/>
        <s v="200320-005"/>
        <s v="200324-003"/>
        <s v="200328-001"/>
        <s v="220327-001"/>
        <s v="200512-002"/>
        <s v="210912-002"/>
        <s v="수입-20200210-001"/>
        <d v="2020-10-18T00:00:00"/>
        <s v="수입-20220213-001"/>
        <s v="수입-20210214-001"/>
        <d v="2021-06-29T00:00:00"/>
        <d v="2022-06-29T00:00:00"/>
        <s v="200422-004"/>
        <s v="200428-001"/>
        <s v="210630-007"/>
        <s v="200614-001"/>
        <s v="220611-002"/>
        <s v="수입-20200216-001"/>
        <s v="수입-20220213-002"/>
        <s v="수입-20210214-002"/>
        <s v="수입-20200217-001"/>
        <s v="200206-009"/>
        <s v="210606-009"/>
        <s v="210127-001"/>
        <s v="211125-002"/>
        <s v="03월 06일"/>
        <d v="2020-11-18T00:00:00"/>
        <s v="210311-002"/>
        <s v="210313-001"/>
        <d v="2022-11-18T00:00:00"/>
        <d v="2021-07-29T00:00:00"/>
        <s v="200526-002"/>
        <s v="200528-001"/>
        <s v="220527-001"/>
        <s v="200712-002"/>
        <s v="200714-001"/>
        <s v="수입-20221211-001"/>
        <s v="211031-006"/>
        <s v="201013-001"/>
        <s v="221012-001"/>
        <s v="수입-20211212-001"/>
        <s v="210221-004"/>
        <s v="수입-20201213-001"/>
        <s v="수입-20210929-001 "/>
        <d v="2020-12-18T00:00:00"/>
        <s v="수입-20221211-002"/>
        <d v="2022-12-18T00:00:00"/>
        <d v="2020-08-29T00:00:00"/>
        <s v="수입-20211212-002"/>
        <d v="2021-08-29T00:00:00"/>
        <d v="2022-08-29T00:00:00"/>
        <s v="200628-001"/>
        <s v="수입-20201213-002"/>
        <s v="200812-002"/>
        <s v="200814-001"/>
        <s v="수입-20221218-001"/>
        <s v="수입-20211219-001"/>
        <s v="200111-002"/>
        <s v="201111-002"/>
        <s v="201113-001"/>
        <s v="221110-002"/>
        <s v="210307-011"/>
        <s v="210321-004"/>
        <s v="210325-002"/>
        <s v="210327-001"/>
        <s v="수입-20221218-002"/>
        <d v="2021-01-08T00:00:00"/>
        <s v="수입-20211219-002"/>
        <s v="210511-002"/>
        <s v="210513-001"/>
        <d v="2020-09-29T00:00:00"/>
        <d v="2021-09-29T00:00:00"/>
        <d v="2022-09-29T00:00:00"/>
        <s v="200726-002"/>
        <s v="220725-002"/>
        <s v="200912-002"/>
        <s v="200914-001"/>
        <s v="220913-001"/>
        <s v="200830-010"/>
        <s v="201023-003"/>
        <s v="201025-002"/>
        <s v="221020-004"/>
        <s v="221026-001"/>
        <s v="200213-001"/>
        <s v="220212-001"/>
        <s v="201211-002"/>
        <s v="201213-001"/>
        <s v="210403-013"/>
        <s v="210421-004"/>
        <s v="210425-002"/>
        <s v="210427-001"/>
        <d v="2021-02-08T00:00:00"/>
        <d v="2022-02-08T00:00:00"/>
        <s v="210613-001"/>
        <d v="2020-10-29T00:00:00"/>
        <d v="2021-10-29T00:00:00"/>
        <d v="2022-10-29T00:00:00"/>
        <s v="200806-012"/>
        <s v="220821-004"/>
        <s v="220827-001"/>
        <s v="210207-008"/>
        <s v="220607-008"/>
        <s v="200121-004"/>
        <s v="200123-003"/>
        <s v="220126-001"/>
        <s v="201127-001"/>
        <s v="221122-003"/>
        <s v="221126-001"/>
        <s v="210319-012"/>
        <s v="210523-003"/>
        <s v="210527-001"/>
        <s v="수입-20220522-001"/>
        <d v="2020-03-08T00:00:00"/>
        <d v="2021-03-08T00:00:00"/>
        <d v="2022-03-08T00:00:00"/>
        <s v="수입-20210523-001"/>
        <s v="210711-002"/>
        <s v="210713-001"/>
        <s v="수입-20200524-001"/>
        <d v="2020-11-29T00:00:00"/>
        <d v="2021-11-29T00:00:00"/>
        <d v="2022-11-29T00:00:00"/>
        <s v="200924-003"/>
        <s v="200928-001"/>
        <s v="220921-004"/>
        <s v="220925-002"/>
        <s v="220927-001"/>
        <s v="수입-20220522-002"/>
        <s v="수입-20210523-002"/>
        <s v="수입-20200524-002"/>
        <s v="210307-008"/>
        <s v="수입-20210527-001"/>
        <s v="201013-015"/>
        <s v="211010-002"/>
        <s v="200221-004"/>
        <s v="200225-002"/>
        <s v="200227-001"/>
        <s v="220220-004"/>
        <s v="220224-002"/>
        <s v="201227-001"/>
        <s v="221220-004"/>
        <s v="200413-001"/>
        <s v="220410-002"/>
        <s v="220412-001"/>
        <s v="수입-20220529-001"/>
        <s v="210623-003"/>
        <s v="210625-002"/>
        <d v="2022-04-08T00:00:00"/>
        <s v="200830-007"/>
        <s v="수입-20220529-002"/>
        <d v="2021-12-29T00:00:00"/>
        <d v="2022-12-29T00:00:00"/>
        <s v="210112-001"/>
        <s v="201119-012"/>
        <s v="200806-009"/>
        <s v="200327-001"/>
        <s v="220512-001"/>
        <s v="210725-002"/>
        <d v="2020-05-08T00:00:00"/>
        <d v="2022-05-08T00:00:00"/>
        <d v="2021-01-19T00:00:00"/>
        <d v="2022-01-19T00:00:00"/>
        <s v="210319-009"/>
        <s v="211024-002"/>
        <s v="200421-004"/>
        <s v="200423-003"/>
        <s v="200425-002"/>
        <s v="200611-002"/>
        <s v="220612-001"/>
        <d v="2020-06-08T00:00:00"/>
        <d v="2021-06-08T00:00:00"/>
        <d v="2022-06-08T00:00:00"/>
        <d v="2020-02-19T00:00:00"/>
        <d v="2021-02-19T00:00:00"/>
        <d v="2022-02-19T00:00:00"/>
        <s v="210122-003"/>
        <s v="210124-002"/>
        <s v="210126-001"/>
        <s v="210312-001"/>
        <s v="200523-003"/>
        <s v="200527-001"/>
        <s v="220524-002"/>
        <s v="220526-001"/>
        <s v="200713-001"/>
        <s v="220712-001"/>
        <d v="2020-07-08T00:00:00"/>
        <d v="2022-07-08T00:00:00"/>
        <d v="2021-03-19T00:00:00"/>
        <d v="2022-03-19T00:00:00"/>
        <s v="201119-009"/>
        <s v="201012-001"/>
        <s v="221011-001"/>
        <s v="211224-002"/>
        <s v="211226-001"/>
        <s v="210410-002"/>
        <s v="수입-20200830-001"/>
        <s v="200623-003"/>
        <d v="2020-08-08T00:00:00"/>
        <d v="2021-08-08T00:00:00"/>
        <d v="2022-08-08T00:00:00"/>
        <d v="2020-04-19T00:00:00"/>
        <d v="2021-04-19T00:00:00"/>
        <s v="200112-001"/>
        <s v="220111-001"/>
        <s v="201112-001"/>
        <s v="210320-004"/>
        <s v="210324-002"/>
        <s v="210326-001"/>
        <s v="200721-004"/>
        <s v="200723-003"/>
        <s v="220722-003"/>
        <s v="200913-001"/>
        <d v="2020-09-08T00:00:00"/>
        <d v="2022-09-08T00:00:00"/>
        <d v="2021-05-19T00:00:00"/>
        <d v="2022-05-19T00:00:00"/>
        <d v="2020-01-30T00:00:00"/>
        <d v="2021-01-30T00:00:00"/>
        <d v="2022-01-30T00:00:00"/>
        <s v="201026-001"/>
        <s v="221023-002"/>
        <s v="200212-001"/>
        <s v="221211-001"/>
        <s v="210424-002"/>
        <s v="200825-002"/>
        <d v="2020-10-08T00:00:00"/>
        <d v="2021-10-08T00:00:00"/>
        <d v="2020-06-19T00:00:00"/>
        <d v="2021-06-19T00:00:00"/>
        <d v="2022-06-19T00:00:00"/>
        <s v="220121-003"/>
        <s v="220125-001"/>
        <s v="201122-003"/>
        <s v="200312-001"/>
        <s v="210520-004"/>
        <d v="2020-11-08T00:00:00"/>
        <d v="2022-11-08T00:00:00"/>
        <d v="2020-07-19T00:00:00"/>
        <d v="2021-07-19T00:00:00"/>
        <d v="2020-03-30T00:00:00"/>
        <d v="2021-03-30T00:00:00"/>
        <d v="2022-03-30T00:00:00"/>
        <s v="200220-004"/>
        <s v="200226-001"/>
        <s v="201220-004"/>
        <s v="201224-002"/>
        <s v="201226-001"/>
        <s v="221225-001"/>
        <s v="210430-006"/>
        <s v="200410-002"/>
        <s v="220411-001"/>
        <s v="210620-004"/>
        <s v="210624-002"/>
        <s v="210626-001"/>
        <s v="210810-002"/>
        <s v="210812-001"/>
        <d v="2020-12-08T00:00:00"/>
        <d v="2021-12-08T00:00:00"/>
        <d v="2022-12-08T00:00:00"/>
        <d v="2020-08-19T00:00:00"/>
        <d v="2021-08-19T00:00:00"/>
        <d v="2022-08-19T00:00:00"/>
        <s v="200130-006"/>
        <d v="2021-04-30T00:00:00"/>
        <d v="2022-04-30T00:00:00"/>
        <s v="211111-001"/>
        <s v="200320-004"/>
        <s v="200324-002"/>
        <s v="200326-001"/>
      </sharedItems>
    </cacheField>
    <cacheField name="계정코드" numFmtId="0">
      <sharedItems containsString="0" containsBlank="1" containsNumber="1" containsInteger="1" minValue="11000" maxValue="51710" count="86">
        <n v="11000"/>
        <n v="11010"/>
        <n v="11100"/>
        <n v="11200"/>
        <n v="11300"/>
        <n v="11400"/>
        <n v="12000"/>
        <n v="12100"/>
        <n v="12200"/>
        <n v="13000"/>
        <n v="14000"/>
        <n v="15100"/>
        <n v="23000"/>
        <n v="24600"/>
        <n v="31200"/>
        <n v="31210"/>
        <n v="31300"/>
        <n v="31310"/>
        <n v="31500"/>
        <n v="31510"/>
        <n v="31599"/>
        <n v="31700"/>
        <n v="31710"/>
        <n v="31910"/>
        <n v="31920"/>
        <n v="31930"/>
        <n v="31940"/>
        <n v="31951"/>
        <n v="31952"/>
        <n v="31990"/>
        <n v="32010"/>
        <n v="32030"/>
        <n v="32040"/>
        <n v="32090"/>
        <n v="32110"/>
        <n v="32130"/>
        <n v="32140"/>
        <n v="32210"/>
        <n v="32220"/>
        <n v="32410"/>
        <n v="32420"/>
        <n v="32431"/>
        <n v="32432"/>
        <n v="32433"/>
        <n v="32450"/>
        <n v="32460"/>
        <n v="32470"/>
        <n v="32499"/>
        <n v="33010"/>
        <n v="33020"/>
        <n v="33030"/>
        <n v="33040"/>
        <n v="33050"/>
        <n v="33052"/>
        <n v="34040"/>
        <n v="34050"/>
        <n v="34060"/>
        <n v="34080"/>
        <n v="34200"/>
        <n v="34310"/>
        <n v="34500"/>
        <n v="34700"/>
        <n v="34800"/>
        <n v="35010"/>
        <n v="35030"/>
        <n v="41100"/>
        <n v="41200"/>
        <n v="41210"/>
        <n v="41300"/>
        <n v="41310"/>
        <n v="41400"/>
        <n v="41500"/>
        <n v="42110"/>
        <n v="42150"/>
        <n v="42190"/>
        <n v="42200"/>
        <n v="45200"/>
        <n v="51140"/>
        <n v="51150"/>
        <n v="51230"/>
        <n v="51300"/>
        <n v="51400"/>
        <n v="51500"/>
        <n v="51510"/>
        <n v="51710"/>
        <m/>
      </sharedItems>
    </cacheField>
    <cacheField name="대분류 계정 항목" numFmtId="0">
      <sharedItems containsBlank="1" containsMixedTypes="1" containsNumber="1" containsInteger="1" minValue="0" maxValue="12000" count="32">
        <s v="십일조"/>
        <s v="기타"/>
        <s v="봉사부서"/>
        <s v="운영비"/>
        <s v="시설&amp;운영관리"/>
        <s v="타교회헌금"/>
        <s v="기타수입"/>
        <s v="차량유지비"/>
        <s v="후원교회헌금"/>
        <s v="전도집회헌금"/>
        <s v="감사헌금"/>
        <s v="세계선교헌금"/>
        <s v="주일헌금"/>
        <s v="십일조 외"/>
        <s v="교회학교후원회비"/>
        <s v="선교회비"/>
        <s v="사랑의헌금"/>
        <s v="건축헌금"/>
        <s v="사무&amp;비품"/>
        <s v="전도집회비"/>
        <s v="필리핀 퀘존 선교회비"/>
        <s v="해외후원헌금"/>
        <s v="해외후원교회"/>
        <s v="주일말씀"/>
        <s v="공과금"/>
        <s v="총회비"/>
        <s v="미디어선교회비"/>
        <m/>
        <e v="#N/A"/>
        <s v="교회학교 후원회비"/>
        <n v="0" u="1"/>
        <n v="12000" u="1"/>
      </sharedItems>
    </cacheField>
    <cacheField name="적요" numFmtId="0">
      <sharedItems containsBlank="1" containsMixedTypes="1" containsNumber="1" containsInteger="1" minValue="0" maxValue="0" count="104">
        <s v="1월 1주차 이체 헌금"/>
        <s v="이체 오류"/>
        <s v="교회행사(야외교제등)"/>
        <s v="교회 전체 임원 수련회 및 모임 관련 비용"/>
        <s v="회별, 부서별 반환금"/>
        <s v="동계 관련 비용"/>
        <s v="미선부"/>
        <s v="기타 잡비"/>
        <s v="전도인 상비품"/>
        <s v="교회당 및 시설물의 잡비"/>
        <s v="직원 식대비 (점심)/"/>
        <s v="시설공사 간식 및 식사비(봉사자포함)"/>
        <s v="교회당 유지 관련 비품 및 소모품"/>
        <s v="교회 회계"/>
        <s v="지역교회지원헌금"/>
        <s v="국내교회입당헌금"/>
        <s v="동계수련회 헌금(1~3차)"/>
        <s v="동계수련회 식비잔액"/>
        <s v="2614, 4137 보험료"/>
        <s v="임원수련회비 90명"/>
        <s v="임원수련회비 찬조금(8명)"/>
        <s v="총회 창원권역 동계수련회 지원비"/>
        <s v="동계수련회 현장접수비"/>
        <s v="동계수련회 매점수입(마산교회-30%)"/>
        <s v="동계수련회 기념품(머그컵)"/>
        <s v="성도교제의밤 포토존 수익금"/>
        <s v="동계수련회 포토존 수익금"/>
        <s v="1월 2주차 이체 헌금"/>
        <s v="1월 2주차 헌금 (1/7)"/>
        <s v="4137 주유비"/>
        <s v="교회학교 중고등부"/>
        <s v="전무자(관리인) 월급 및 상여금"/>
        <s v="전무자(사무실) 월급 및 상여금"/>
        <s v="4137 정비, 검사 및 수리비"/>
        <s v="2614 정비, 검사 및 수리비"/>
        <s v="차량 기타비용"/>
        <s v="교회사무실 복사기 렌탈비"/>
        <s v="전도집회 현수막 제작비"/>
        <s v="2614 주유비"/>
        <s v="종량제 쓰레기봉투, 음식쓰레기 칩, 폐품처리비,하얀비닐봉투"/>
        <s v="교회사무실 잡비"/>
        <s v="교회사무실 사무용품"/>
        <s v="2614, 4137 하이패스 충전료"/>
        <s v="필리핀 퀘존 지원비(물품구입등)"/>
        <s v="일반 -&gt; 건축 "/>
        <s v="해외후원 미스 입금"/>
        <s v="1월 1주차 헌금 (1/7일 잔돈)"/>
        <s v="아르헨티나"/>
        <s v="1월 3주차 이체 헌금"/>
        <s v="1월 3주차 헌금(1/14)"/>
        <s v="외부전도인 사례비"/>
        <s v="외부전도인 유류대"/>
        <s v="해외교회입당헌금"/>
        <s v="교회당 집기류"/>
        <s v="난방유 구입"/>
        <s v="1402 정비 및 수리비"/>
        <s v="은장회 관련 비용"/>
        <s v="정수기 렌탈비"/>
        <s v="1월 3주차 헌금 (1/14) 잔돈"/>
        <s v="해외 후원 미스 입금"/>
        <s v="건축 헌금 미스 입금"/>
        <s v="총회비"/>
        <s v="퇴직 적립금"/>
        <s v="필리핀 퀘존 선교회비"/>
        <s v="선교회비"/>
        <s v="세계선교헌금"/>
        <s v="미디어선교회비"/>
        <s v="전도인전도비"/>
        <s v="농선부"/>
        <s v="전기요금"/>
        <s v="CJ헬로비젼 "/>
        <s v="상하수도 요금"/>
        <s v="지하수 이용부담금"/>
        <s v="1월 4주차 이체 헌금"/>
        <s v="1월 4주차 헌금 (1/21)"/>
        <s v="KT통신요금"/>
        <s v="1월 4주차 헌금 (1/21) - 잔돈"/>
        <s v="1402, 6401 자동차세, 보험료"/>
        <s v="전도집회 식대비"/>
        <s v="1월 5주차 이체 헌금"/>
        <s v="1월 5주차 헌금 (1/28)"/>
        <s v="아르헨티나 심방여비(담임목사내외분)"/>
        <s v="시설물 점검, 검사료(전기점검 대금)"/>
        <s v="복사용지 구입비"/>
        <s v="국내교회집회헌금"/>
        <s v="삼성 SDS요금 2건"/>
        <s v="화장실 소모품(검정비닐봉지, 화장지)"/>
        <s v="1월 5주차 헌금 (1/28) 잔돈"/>
        <m/>
        <s v="2월 1주차 이체 헌금"/>
        <s v="2월 1주차 헌금 (2/4)"/>
        <s v="전도집회 잡비"/>
        <s v="중고등부 후원회비"/>
        <s v="유초등부 후원회비"/>
        <s v="전도집회 강사료"/>
        <s v="전도집회 강사 교통비"/>
        <s v="강사숙소 비품"/>
        <s v="전도집회 강사 접대비"/>
        <s v="담임목사님사택관리비"/>
        <s v="교회사무실 집기류"/>
        <s v="전도인복리후생비(수련회경비,하계휴가비)"/>
        <s v="주변 유지 명절 선물 비용 (마을, 오뚜기등)"/>
        <e v="#N/A"/>
        <n v="0" u="1"/>
      </sharedItems>
    </cacheField>
    <cacheField name="수입금액" numFmtId="0">
      <sharedItems containsString="0" containsBlank="1" containsNumber="1" minValue="2" maxValue="65311.450999999994" count="77">
        <n v="2"/>
        <n v="3"/>
        <n v="5"/>
        <n v="6"/>
        <n v="8.9"/>
        <n v="9"/>
        <n v="10"/>
        <n v="15"/>
        <n v="18.05"/>
        <n v="20"/>
        <n v="30"/>
        <n v="32.049999999999997"/>
        <n v="40"/>
        <n v="45.841000000000001"/>
        <n v="50"/>
        <n v="51"/>
        <n v="52"/>
        <n v="60"/>
        <n v="70"/>
        <n v="80"/>
        <n v="90"/>
        <n v="100"/>
        <n v="110"/>
        <n v="116.81"/>
        <n v="120"/>
        <n v="150"/>
        <n v="162"/>
        <n v="180"/>
        <n v="185"/>
        <n v="190"/>
        <n v="200"/>
        <n v="210"/>
        <n v="220"/>
        <n v="230"/>
        <n v="239"/>
        <n v="240"/>
        <n v="250"/>
        <n v="260"/>
        <n v="271"/>
        <n v="280"/>
        <n v="290"/>
        <n v="300"/>
        <n v="301"/>
        <n v="310"/>
        <n v="330"/>
        <n v="340"/>
        <n v="350"/>
        <n v="360"/>
        <n v="400"/>
        <n v="425"/>
        <n v="430"/>
        <n v="480"/>
        <n v="500"/>
        <n v="580.5"/>
        <n v="600"/>
        <n v="700"/>
        <n v="750"/>
        <n v="795.34799999999996"/>
        <n v="800"/>
        <n v="810"/>
        <n v="900"/>
        <n v="931.79300000000001"/>
        <n v="1000"/>
        <n v="1050"/>
        <n v="1080"/>
        <n v="1500"/>
        <n v="1800"/>
        <n v="1810"/>
        <n v="2000"/>
        <n v="2100"/>
        <n v="2540"/>
        <n v="2641"/>
        <n v="3920"/>
        <n v="4488"/>
        <n v="8000"/>
        <n v="65311.450999999994"/>
        <m/>
      </sharedItems>
    </cacheField>
    <cacheField name="지출금액" numFmtId="0">
      <sharedItems containsString="0" containsBlank="1" containsNumber="1" minValue="1.98" maxValue="62653.796999999991" count="158">
        <n v="1.98"/>
        <n v="3.3"/>
        <n v="4"/>
        <n v="4.3499999999999996"/>
        <n v="5"/>
        <n v="6.6"/>
        <n v="7"/>
        <n v="7.24"/>
        <n v="7.5"/>
        <n v="7.92"/>
        <n v="8.1"/>
        <n v="8.1999999999999993"/>
        <n v="8.8000000000000007"/>
        <n v="9.5"/>
        <n v="10"/>
        <n v="11.92"/>
        <n v="12"/>
        <n v="14.19"/>
        <n v="14.7"/>
        <n v="15"/>
        <n v="15.9"/>
        <n v="16.739999999999998"/>
        <n v="18"/>
        <n v="18.95"/>
        <n v="19.399999999999999"/>
        <n v="19.600000000000001"/>
        <n v="20"/>
        <n v="21.9"/>
        <n v="22"/>
        <n v="23.1"/>
        <n v="23.82"/>
        <n v="24"/>
        <n v="24.2"/>
        <n v="25.6"/>
        <n v="26.74"/>
        <n v="26.9"/>
        <n v="27"/>
        <n v="27.5"/>
        <n v="28"/>
        <n v="28.5"/>
        <n v="28.8"/>
        <n v="28.9"/>
        <n v="29.3"/>
        <n v="29.31"/>
        <n v="30"/>
        <n v="30.52"/>
        <n v="30.9"/>
        <n v="32"/>
        <n v="32.5"/>
        <n v="33"/>
        <n v="34.6"/>
        <n v="35"/>
        <n v="37.200000000000003"/>
        <n v="37.9"/>
        <n v="39"/>
        <n v="40"/>
        <n v="41.7"/>
        <n v="42"/>
        <n v="44"/>
        <n v="45"/>
        <n v="47"/>
        <n v="47.4"/>
        <n v="47.5"/>
        <n v="49.7"/>
        <n v="50"/>
        <n v="50.1"/>
        <n v="51"/>
        <n v="52.8"/>
        <n v="53"/>
        <n v="54"/>
        <n v="55"/>
        <n v="56"/>
        <n v="58"/>
        <n v="60"/>
        <n v="68"/>
        <n v="69"/>
        <n v="69.400000000000006"/>
        <n v="72"/>
        <n v="73.38"/>
        <n v="76"/>
        <n v="76.8"/>
        <n v="79.3"/>
        <n v="80"/>
        <n v="84"/>
        <n v="85"/>
        <n v="86"/>
        <n v="90.25"/>
        <n v="96"/>
        <n v="97"/>
        <n v="97.881"/>
        <n v="98"/>
        <n v="99.4"/>
        <n v="100"/>
        <n v="107"/>
        <n v="108"/>
        <n v="109.8"/>
        <n v="110"/>
        <n v="114.8"/>
        <n v="120"/>
        <n v="120.4"/>
        <n v="122.3"/>
        <n v="123.3"/>
        <n v="123.78"/>
        <n v="125"/>
        <n v="135"/>
        <n v="136.94999999999999"/>
        <n v="140"/>
        <n v="174.18"/>
        <n v="190"/>
        <n v="200"/>
        <n v="201.1"/>
        <n v="223.3"/>
        <n v="240.5"/>
        <n v="270"/>
        <n v="300"/>
        <n v="303.12900000000002"/>
        <n v="341.9"/>
        <n v="350.06"/>
        <n v="358.75"/>
        <n v="369.91"/>
        <n v="388.5"/>
        <n v="400"/>
        <n v="500"/>
        <n v="511.5"/>
        <n v="530"/>
        <n v="600"/>
        <n v="679.77"/>
        <n v="690"/>
        <n v="700"/>
        <n v="720"/>
        <n v="743.08"/>
        <n v="817.25"/>
        <n v="900"/>
        <n v="905"/>
        <n v="953"/>
        <n v="1000"/>
        <n v="1025"/>
        <n v="1155"/>
        <n v="1235.973"/>
        <n v="1289.98"/>
        <n v="1400"/>
        <n v="1710"/>
        <n v="1829"/>
        <n v="1850"/>
        <n v="1995"/>
        <n v="2000"/>
        <n v="2160"/>
        <n v="2169"/>
        <n v="2335"/>
        <n v="2800"/>
        <n v="2880"/>
        <n v="3421.82"/>
        <n v="3500"/>
        <n v="4482.3239999999996"/>
        <n v="4488"/>
        <n v="6000"/>
        <n v="62653.796999999991"/>
        <m/>
      </sharedItems>
    </cacheField>
    <cacheField name="수령자" numFmtId="0">
      <sharedItems containsBlank="1" count="58">
        <s v="33구역"/>
        <s v="kb손해보험"/>
        <s v="lg유선방송"/>
        <s v="각교구"/>
        <s v="광주교회서적부"/>
        <s v="김경아"/>
        <s v="김동순"/>
        <s v="김삼중"/>
        <s v="김선희-카페"/>
        <s v="김이권"/>
        <s v="김재홍"/>
        <s v="나효심"/>
        <s v="덕산가스"/>
        <s v="도로공사"/>
        <s v="문경숙"/>
        <s v="삼성sds"/>
        <s v="새롬씨엔피"/>
        <s v="서다혜"/>
        <s v="서병욱"/>
        <s v="서울노원교회"/>
        <s v="손미숙"/>
        <s v="안선희"/>
        <s v="영광교회"/>
        <s v="영남전기"/>
        <s v="울산교회"/>
        <s v="웅진 코웨이"/>
        <s v="윤영희"/>
        <s v="이말연"/>
        <s v="이영순"/>
        <s v="이월금"/>
        <s v="이지영"/>
        <s v="인디컴"/>
        <s v="임용열"/>
        <s v="임준석"/>
        <s v="임희재"/>
        <s v="장관익"/>
        <s v="장승호"/>
        <s v="전도인"/>
        <s v="정경수p"/>
        <s v="정승진e"/>
        <s v="제재민"/>
        <s v="조정화"/>
        <s v="조정환"/>
        <s v="창원서부경찰서"/>
        <s v="창원시"/>
        <s v="창원중부교회"/>
        <s v="채병연"/>
        <s v="청미산업"/>
        <s v="총회"/>
        <s v="최태환p"/>
        <s v="한국가스안전공사"/>
        <s v="한상미"/>
        <s v="한윤숙"/>
        <s v="한전"/>
        <s v="현대해상"/>
        <s v="홍은석"/>
        <s v="황윤실"/>
        <m/>
      </sharedItems>
    </cacheField>
    <cacheField name="비고" numFmtId="0">
      <sharedItems containsBlank="1" containsMixedTypes="1" containsNumber="1" minValue="47158.436999999998" maxValue="47158.436999999998" count="178">
        <n v="47158.436999999998"/>
        <s v="1/10"/>
        <s v="1/11"/>
        <s v="1/13"/>
        <s v="1/14"/>
        <s v="1/16"/>
        <s v="1/17"/>
        <s v="1/18"/>
        <s v="1/20"/>
        <s v="1/23"/>
        <s v="1/24"/>
        <s v="1/25"/>
        <s v="1/26"/>
        <s v="1/27"/>
        <s v="1/28 주일외부강사"/>
        <s v="1/3"/>
        <s v="1/4"/>
        <s v="1/5"/>
        <s v="1/9"/>
        <s v="11구역 집회헌금"/>
        <s v="12/26"/>
        <s v="12/27"/>
        <s v="12구역 집회헌금"/>
        <s v="1402 자동차보험"/>
        <s v="1월 대집회"/>
        <s v="1월 대집회 식대비"/>
        <s v="2023년 중고등부 결산"/>
        <s v="2442 트럭주유(부직포,임대장비)"/>
        <s v="2442트럭주유(임원수련회 선발대)"/>
        <s v="2614 보험"/>
        <s v="2614 엔진오일"/>
        <s v="2614 할부금"/>
        <s v="4137 세차"/>
        <s v="4137 속도위반(교회심방)"/>
        <s v="4137 엔진오일 교환외(1/11)"/>
        <s v="4137 오토미션오일,라이닝교환외(1/23)"/>
        <s v="4137 주유"/>
        <s v="42구역 집회헌금"/>
        <s v="6401 엔진오일 수리(12/26)"/>
        <s v="6401 타이어 수리(1/11)"/>
        <s v="a4 용지"/>
        <s v="a4코팅지외"/>
        <s v="AA 건전지"/>
        <s v="lpg 가스"/>
        <s v="lpg가스"/>
        <s v="lpg가스요금"/>
        <s v="가구 스크래치 마커펜"/>
        <s v="가스 정기검사"/>
        <s v="감사묵상노트"/>
        <s v="강대상 물수건"/>
        <s v="강대상 생수"/>
        <s v="개인 탁구연습 기계"/>
        <s v="건축 미스 입금"/>
        <s v="건축오류 이관"/>
        <s v="게시판 시트지 인쇄"/>
        <s v="관리인 급여"/>
        <s v="관리인 설명절"/>
        <s v="김재홍 집사 꽃다발"/>
        <s v="나무쫄대"/>
        <s v="난방유"/>
        <s v="담임p"/>
        <s v="담임P 설명절"/>
        <s v="대강당 난방유"/>
        <s v="대강당 문풍지"/>
        <s v="대강당 보일러 as"/>
        <s v="대강당 슬로건 현수막"/>
        <s v="대강당 천정등"/>
        <s v="대집회 강사 선물비(과일2박스)"/>
        <s v="대집회 강사 일정 (북면온천 음료)"/>
        <s v="대집회 강사 일정 (북면온천입장료)"/>
        <s v="대집회 강사 일정(밀양알프스케이블카)"/>
        <s v="대집회 대강당 현수막"/>
        <s v="동계 안내장 300부"/>
        <s v="동계 야외현수막"/>
        <s v="동계 일정표 전지사이즈 인쇄"/>
        <s v="동계강사 유류비(박종권p,이정익p)"/>
        <s v="동계수련회 기념품(머그컵)"/>
        <s v="동계수련회 매점수입(마산교회-30%)"/>
        <s v="동계수련회 식비잔액"/>
        <s v="동계수련회 주방 가스비"/>
        <s v="동계수련회 포토존 수익금"/>
        <s v="동계수련회 헌금(1-3차)"/>
        <s v="동계수련회 현장접수비"/>
        <s v="라벨용지, 양면테잎외"/>
        <s v="리니에르 교회 지원"/>
        <s v="리니에르 지원금(해외후원이관)"/>
        <s v="매입부지 부직포, 말뚝외"/>
        <s v="매직블럭(대청소용)"/>
        <s v="면도용품"/>
        <s v="물티슈"/>
        <s v="미얀마 미양곤 입당헌금"/>
        <s v="바닥 스크래치 제거제"/>
        <s v="반코팅장갑외"/>
        <s v="배너"/>
        <s v="베를린 입당헌금"/>
        <s v="복사기 토너"/>
        <s v="봉사자 간식"/>
        <s v="봉사자 식사(12/28)"/>
        <s v="봉사회계/서기 노트북"/>
        <s v="부p"/>
        <s v="부P 설명절"/>
        <s v="부산남부교회 집회방문 선물(사과)"/>
        <s v="부직포 외(매입부지)"/>
        <s v="부직포(매입부지포설)"/>
        <s v="분리수거 쓰레기통 3세트"/>
        <s v="사무실 급여"/>
        <s v="사무실 설명절"/>
        <s v="사무실 집기류(책상,수납장,의자)"/>
        <s v="사무용칼, 집무실종이컵, 복사기헌금통"/>
        <s v="사진보관용 앨범"/>
        <s v="생수"/>
        <s v="선교지도 스펠링추가(리니에르교회)"/>
        <s v="설명절 방문 성도 선물(한과10개)"/>
        <s v="성도교제의밤 선물(새신자,교제회복-35명)"/>
        <s v="성도교제의밤 포토존 수익금"/>
        <s v="성밤 꾸미기 재료"/>
        <s v="성밤 추첨선물"/>
        <s v="성밤 추첨선물, 포토존 장식"/>
        <s v="세차비"/>
        <s v="스텐물통(화장실)"/>
        <s v="식당 LED등 7개 교체"/>
        <s v="식당 삼파장 19개 교체"/>
        <s v="신안교회 집회방문 주유"/>
        <s v="쓰레기 봉투,건전지외"/>
        <s v="쓰레기봉투,소쿠리,자바라외"/>
        <s v="아르헨티나 선교 담임p 공동경비지원"/>
        <s v="암송프로젝트 공동 2위상(상품권)"/>
        <s v="영광교회 리모델링 및 교육관 신축"/>
        <s v="오뎅탕재료(성도교제의 밤)"/>
        <s v="울산강동교회 자립 지원금"/>
        <s v="유치부실 미끄럼틀 페기처리"/>
        <s v="은장회 교회학교 케익"/>
        <s v="이체 오류"/>
        <s v="이체오류"/>
        <s v="임원수련회 간식"/>
        <s v="임원수련회 교구별 미션수행 전도지원금"/>
        <s v="임원수련회 배너"/>
        <s v="임원수련회 식사비(2식*90명*12,000)"/>
        <s v="임원수련회 찬조"/>
        <s v="임원수련회 현수막"/>
        <s v="임원수련회미션2시상 카페쿠폰(구역/조)"/>
        <s v="임원수련회비 90명"/>
        <s v="임원수련회비 찬조금(8명)"/>
        <s v="자동차 검사"/>
        <s v="전기릴선(본당 1층 츄리 전기공급선)"/>
        <s v="전기점검"/>
        <s v="전도지원금"/>
        <s v="전동드릴 기리"/>
        <s v="접대용 간식"/>
        <s v="접대용 손님 간식"/>
        <s v="종량제 봉투"/>
        <s v="주방다이 바퀴구입"/>
        <s v="주차신호봉"/>
        <s v="주차장 섭외 선물"/>
        <s v="중고등부 동계 봉사자 간식지원"/>
        <s v="직원외 식사 (12/28)"/>
        <s v="직원외 식사 (12/29)"/>
        <s v="찬양대 2023결산 반환금"/>
        <s v="창원중부 (담임p)집회 방문"/>
        <s v="철판피스, 빨래줄"/>
        <s v="청소용품"/>
        <s v="체어슈즈"/>
        <s v="총회 동계 정산 잔액 반환"/>
        <s v="총회 창원권역 동계수련회 지원비"/>
        <s v="커피원두"/>
        <s v="케이블 타이"/>
        <s v="퀘존선교지원"/>
        <s v="페인트 택배비(경사로 연마제)"/>
        <s v="폐기물처리비"/>
        <s v="포토존 인화 프린터,잉크,인화지"/>
        <s v="프린터기 수리(부p)"/>
        <s v="해외후원 미스 입금"/>
        <s v="해외후원 이관"/>
        <s v="핸드타올"/>
        <s v="헌금봉투 (1,000메)+ 현금소봉투"/>
        <s v="화장실 화장지"/>
        <s v="환경미화봉사 간식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showItems="0" showMultipleLabel="0" showMemberPropertyTips="0" useAutoFormatting="1" itemPrintTitles="1" indent="0" compact="0" compactData="0" gridDropZones="1">
  <location ref="A3:H175" firstHeaderRow="1" firstDataRow="2" firstDataCol="2" rowPageCount="1" colPageCount="1"/>
  <pivotFields count="10">
    <pivotField axis="axisPage" compact="0" showAll="0" includeNewItemsInFilter="1">
      <items count="35">
        <item x="0"/>
        <item h="1" x="1"/>
        <item x="3"/>
        <item h="1" x="2"/>
        <item h="1" m="1" x="4"/>
        <item h="1" m="1" x="5"/>
        <item h="1" m="1" x="6"/>
        <item h="1" m="1" x="7"/>
        <item h="1" m="1" x="8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m="1" x="23"/>
        <item m="1" x="27"/>
        <item m="1" x="33"/>
        <item m="1" x="28"/>
        <item m="1" x="32"/>
        <item m="1" x="26"/>
        <item m="1" x="30"/>
        <item m="1" x="29"/>
        <item m="1" x="25"/>
        <item m="1" x="31"/>
        <item h="1" m="1" x="24"/>
        <item t="default"/>
      </items>
    </pivotField>
    <pivotField axis="axisCol" compact="0" showAll="0" includeNewItemsInFilter="1">
      <items count="7">
        <item x="0"/>
        <item x="1"/>
        <item x="2"/>
        <item x="5"/>
        <item x="3"/>
        <item x="4"/>
        <item t="default"/>
      </items>
    </pivotField>
    <pivotField compact="0" showAll="0" includeNewItemsInFilter="1"/>
    <pivotField compact="0" showAll="0" includeNewItemsInFilter="1"/>
    <pivotField axis="axisRow" compact="0" showAll="0" includeNewItemsInFilter="1">
      <items count="33">
        <item x="1"/>
        <item x="6"/>
        <item x="16"/>
        <item x="18"/>
        <item x="15"/>
        <item x="11"/>
        <item x="4"/>
        <item x="0"/>
        <item x="13"/>
        <item x="3"/>
        <item x="12"/>
        <item x="7"/>
        <item sd="0" x="28"/>
        <item x="27"/>
        <item x="8"/>
        <item x="14"/>
        <item x="10"/>
        <item x="9"/>
        <item m="1" x="30"/>
        <item x="2"/>
        <item x="17"/>
        <item x="19"/>
        <item m="1" x="31"/>
        <item x="5"/>
        <item x="20"/>
        <item x="21"/>
        <item x="22"/>
        <item x="23"/>
        <item x="24"/>
        <item x="25"/>
        <item x="26"/>
        <item x="29"/>
        <item t="default"/>
      </items>
    </pivotField>
    <pivotField axis="axisRow" compact="0" showAll="0" includeNewItemsInFilter="1">
      <items count="105">
        <item x="0"/>
        <item x="27"/>
        <item x="31"/>
        <item x="88"/>
        <item x="32"/>
        <item x="11"/>
        <item x="10"/>
        <item m="1" x="103"/>
        <item x="8"/>
        <item x="12"/>
        <item x="9"/>
        <item x="7"/>
        <item x="39"/>
        <item x="29"/>
        <item x="102"/>
        <item x="41"/>
        <item x="35"/>
        <item x="38"/>
        <item x="36"/>
        <item x="2"/>
        <item x="33"/>
        <item x="18"/>
        <item x="34"/>
        <item x="5"/>
        <item x="37"/>
        <item x="4"/>
        <item x="40"/>
        <item x="6"/>
        <item x="15"/>
        <item x="3"/>
        <item x="30"/>
        <item x="14"/>
        <item x="1"/>
        <item x="13"/>
        <item x="16"/>
        <item x="17"/>
        <item x="19"/>
        <item x="20"/>
        <item x="21"/>
        <item x="22"/>
        <item x="23"/>
        <item x="24"/>
        <item x="25"/>
        <item x="26"/>
        <item x="28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1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compact="0" showAll="0" includeNewItemsInFilter="1"/>
    <pivotField dataField="1" compact="0" showAll="0" includeNewItemsInFilter="1"/>
    <pivotField compact="0" showAll="0" includeNewItemsInFilter="1"/>
    <pivotField compact="0" showAll="0" includeNewItemsInFilter="1"/>
  </pivotFields>
  <rowFields count="2">
    <field x="4"/>
    <field x="5"/>
  </rowFields>
  <rowItems count="171">
    <i>
      <x/>
    </i>
    <i r="1">
      <x v="11"/>
    </i>
    <i r="1">
      <x v="19"/>
    </i>
    <i r="1">
      <x v="23"/>
    </i>
    <i r="1">
      <x v="25"/>
    </i>
    <i r="1">
      <x v="29"/>
    </i>
    <i r="1">
      <x v="32"/>
    </i>
    <i r="1">
      <x v="59"/>
    </i>
    <i r="1">
      <x v="89"/>
    </i>
    <i>
      <x v="1"/>
    </i>
    <i r="1">
      <x v="1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2"/>
    </i>
    <i r="1">
      <x v="1"/>
    </i>
    <i r="1">
      <x v="44"/>
    </i>
    <i r="1">
      <x v="51"/>
    </i>
    <i r="1">
      <x v="52"/>
    </i>
    <i r="1">
      <x v="76"/>
    </i>
    <i r="1">
      <x v="77"/>
    </i>
    <i r="1">
      <x v="79"/>
    </i>
    <i r="1">
      <x v="82"/>
    </i>
    <i r="1">
      <x v="83"/>
    </i>
    <i r="1">
      <x v="90"/>
    </i>
    <i>
      <x v="3"/>
    </i>
    <i r="1">
      <x v="15"/>
    </i>
    <i r="1">
      <x v="18"/>
    </i>
    <i r="1">
      <x v="26"/>
    </i>
    <i r="1">
      <x v="85"/>
    </i>
    <i>
      <x v="4"/>
    </i>
    <i r="1">
      <x v="1"/>
    </i>
    <i r="1">
      <x v="44"/>
    </i>
    <i r="1">
      <x v="51"/>
    </i>
    <i r="1">
      <x v="52"/>
    </i>
    <i r="1">
      <x v="67"/>
    </i>
    <i r="1">
      <x v="76"/>
    </i>
    <i r="1">
      <x v="77"/>
    </i>
    <i r="1">
      <x v="82"/>
    </i>
    <i r="1">
      <x v="83"/>
    </i>
    <i>
      <x v="5"/>
    </i>
    <i r="1">
      <x v="1"/>
    </i>
    <i r="1">
      <x v="44"/>
    </i>
    <i r="1">
      <x v="51"/>
    </i>
    <i r="1">
      <x v="61"/>
    </i>
    <i r="1">
      <x v="68"/>
    </i>
    <i r="1">
      <x v="76"/>
    </i>
    <i r="1">
      <x v="77"/>
    </i>
    <i r="1">
      <x v="82"/>
    </i>
    <i r="1">
      <x v="83"/>
    </i>
    <i>
      <x v="6"/>
    </i>
    <i r="1">
      <x v="5"/>
    </i>
    <i r="1">
      <x v="9"/>
    </i>
    <i r="1">
      <x v="10"/>
    </i>
    <i r="1">
      <x v="12"/>
    </i>
    <i r="1">
      <x v="56"/>
    </i>
    <i r="1">
      <x v="57"/>
    </i>
    <i r="1">
      <x v="84"/>
    </i>
    <i r="1">
      <x v="88"/>
    </i>
    <i>
      <x v="7"/>
    </i>
    <i r="1">
      <x/>
    </i>
    <i r="1">
      <x v="1"/>
    </i>
    <i r="1">
      <x v="51"/>
    </i>
    <i r="1">
      <x v="76"/>
    </i>
    <i r="1">
      <x v="82"/>
    </i>
    <i>
      <x v="8"/>
    </i>
    <i r="1">
      <x v="44"/>
    </i>
    <i r="1">
      <x v="49"/>
    </i>
    <i r="1">
      <x v="52"/>
    </i>
    <i r="1">
      <x v="61"/>
    </i>
    <i r="1">
      <x v="77"/>
    </i>
    <i r="1">
      <x v="79"/>
    </i>
    <i r="1">
      <x v="83"/>
    </i>
    <i r="1">
      <x v="90"/>
    </i>
    <i>
      <x v="9"/>
    </i>
    <i r="1">
      <x v="2"/>
    </i>
    <i r="1">
      <x v="4"/>
    </i>
    <i r="1">
      <x v="6"/>
    </i>
    <i r="1">
      <x v="8"/>
    </i>
    <i r="1">
      <x v="70"/>
    </i>
    <i>
      <x v="10"/>
    </i>
    <i r="1">
      <x v="1"/>
    </i>
    <i r="1">
      <x v="51"/>
    </i>
    <i r="1">
      <x v="76"/>
    </i>
    <i r="1">
      <x v="82"/>
    </i>
    <i>
      <x v="11"/>
    </i>
    <i r="1">
      <x v="13"/>
    </i>
    <i r="1">
      <x v="16"/>
    </i>
    <i r="1">
      <x v="17"/>
    </i>
    <i r="1">
      <x v="20"/>
    </i>
    <i r="1">
      <x v="21"/>
    </i>
    <i r="1">
      <x v="22"/>
    </i>
    <i r="1">
      <x v="45"/>
    </i>
    <i r="1">
      <x v="58"/>
    </i>
    <i r="1">
      <x v="80"/>
    </i>
    <i>
      <x v="12"/>
    </i>
    <i>
      <x v="13"/>
    </i>
    <i r="1">
      <x v="3"/>
    </i>
    <i>
      <x v="14"/>
    </i>
    <i r="1">
      <x/>
    </i>
    <i r="1">
      <x v="1"/>
    </i>
    <i r="1">
      <x v="51"/>
    </i>
    <i r="1">
      <x v="76"/>
    </i>
    <i r="1">
      <x v="82"/>
    </i>
    <i>
      <x v="15"/>
    </i>
    <i r="1">
      <x v="1"/>
    </i>
    <i r="1">
      <x v="44"/>
    </i>
    <i r="1">
      <x v="51"/>
    </i>
    <i r="1">
      <x v="52"/>
    </i>
    <i r="1">
      <x v="76"/>
    </i>
    <i r="1">
      <x v="77"/>
    </i>
    <i r="1">
      <x v="82"/>
    </i>
    <i r="1">
      <x v="83"/>
    </i>
    <i r="1">
      <x v="90"/>
    </i>
    <i>
      <x v="16"/>
    </i>
    <i r="1">
      <x v="1"/>
    </i>
    <i r="1">
      <x v="51"/>
    </i>
    <i r="1">
      <x v="82"/>
    </i>
    <i>
      <x v="17"/>
    </i>
    <i r="1">
      <x v="1"/>
    </i>
    <i r="1">
      <x v="76"/>
    </i>
    <i r="1">
      <x v="82"/>
    </i>
    <i>
      <x v="19"/>
    </i>
    <i r="1">
      <x v="27"/>
    </i>
    <i r="1">
      <x v="30"/>
    </i>
    <i r="1">
      <x v="33"/>
    </i>
    <i r="1">
      <x v="71"/>
    </i>
    <i>
      <x v="20"/>
    </i>
    <i r="1">
      <x v="32"/>
    </i>
    <i r="1">
      <x v="47"/>
    </i>
    <i r="1">
      <x v="63"/>
    </i>
    <i>
      <x v="21"/>
    </i>
    <i r="1">
      <x v="24"/>
    </i>
    <i r="1">
      <x v="81"/>
    </i>
    <i>
      <x v="23"/>
    </i>
    <i r="1">
      <x v="28"/>
    </i>
    <i r="1">
      <x v="31"/>
    </i>
    <i r="1">
      <x v="55"/>
    </i>
    <i r="1">
      <x v="86"/>
    </i>
    <i>
      <x v="24"/>
    </i>
    <i r="1">
      <x v="46"/>
    </i>
    <i r="1">
      <x v="66"/>
    </i>
    <i>
      <x v="25"/>
    </i>
    <i r="1">
      <x v="48"/>
    </i>
    <i r="1">
      <x v="62"/>
    </i>
    <i>
      <x v="26"/>
    </i>
    <i r="1">
      <x v="50"/>
    </i>
    <i>
      <x v="27"/>
    </i>
    <i r="1">
      <x v="53"/>
    </i>
    <i r="1">
      <x v="54"/>
    </i>
    <i>
      <x v="28"/>
    </i>
    <i r="1">
      <x v="60"/>
    </i>
    <i r="1">
      <x v="72"/>
    </i>
    <i r="1">
      <x v="73"/>
    </i>
    <i r="1">
      <x v="74"/>
    </i>
    <i r="1">
      <x v="75"/>
    </i>
    <i r="1">
      <x v="78"/>
    </i>
    <i r="1">
      <x v="87"/>
    </i>
    <i>
      <x v="29"/>
    </i>
    <i r="1">
      <x v="64"/>
    </i>
    <i r="1">
      <x v="65"/>
    </i>
    <i>
      <x v="30"/>
    </i>
    <i r="1">
      <x v="6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0" hier="0"/>
  </pageFields>
  <dataFields count="1">
    <dataField name="합계 : 지출금액" fld="7" baseField="0" baseItem="0"/>
  </dataFields>
  <formats count="12">
    <format dxfId="11">
      <pivotArea outline="0" fieldPosition="0"/>
    </format>
    <format dxfId="10">
      <pivotArea dataOnly="0" labelOnly="1" outline="0" fieldPosition="0">
        <references count="1">
          <reference field="1" count="0"/>
        </references>
      </pivotArea>
    </format>
    <format dxfId="9">
      <pivotArea type="all" dataOnly="0" outline="0" fieldPosition="0"/>
    </format>
    <format dxfId="8">
      <pivotArea outline="0" fieldPosition="0"/>
    </format>
    <format dxfId="7">
      <pivotArea field="1" type="button" dataOnly="0" labelOnly="1" outline="0" axis="axisCol" fieldPosition="0"/>
    </format>
    <format dxfId="6">
      <pivotArea type="topRight" dataOnly="0" labelOnly="1" outline="0" fieldPosition="0"/>
    </format>
    <format dxfId="5">
      <pivotArea dataOnly="0" labelOnly="1" outline="0" fieldPosition="0">
        <references count="1">
          <reference field="1" count="0"/>
        </references>
      </pivotArea>
    </format>
    <format dxfId="4">
      <pivotArea dataOnly="0" labelOnly="1" grandCol="1" outline="0" fieldPosition="0"/>
    </format>
    <format dxfId="3">
      <pivotArea field="4" type="button" dataOnly="0" labelOnly="1" outline="0" axis="axisRow" fieldPosition="0"/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dataOnly="0" labelOnly="1" grandCol="1" outline="0" fieldPosition="0"/>
    </format>
    <format dxfId="0">
      <pivotArea field="5" grandCol="1" outline="0" axis="axisRow" fieldPosition="1">
        <references count="2">
          <reference field="4" count="1" selected="0">
            <x v="6"/>
          </reference>
          <reference field="5" count="1">
            <x v="5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600"/>
  <sheetViews>
    <sheetView zoomScaleNormal="100" zoomScaleSheetLayoutView="75" workbookViewId="0">
      <pane xSplit="1" ySplit="4" topLeftCell="B48" activePane="bottomRight" state="frozen"/>
      <selection activeCell="D66" sqref="D66"/>
      <selection pane="topRight"/>
      <selection pane="bottomLeft"/>
      <selection pane="bottomRight" activeCell="D66" sqref="D66"/>
    </sheetView>
  </sheetViews>
  <sheetFormatPr defaultColWidth="8.8984375" defaultRowHeight="13.2" x14ac:dyDescent="0.25"/>
  <cols>
    <col min="1" max="1" width="33.296875" style="60" customWidth="1"/>
    <col min="2" max="2" width="11.69921875" style="61" bestFit="1" customWidth="1"/>
    <col min="3" max="3" width="10.3984375" style="61" bestFit="1" customWidth="1"/>
    <col min="4" max="4" width="10.3984375" style="62" bestFit="1" customWidth="1"/>
    <col min="5" max="5" width="10.69921875" style="62" bestFit="1" customWidth="1"/>
    <col min="6" max="7" width="9.3984375" style="62" bestFit="1" customWidth="1"/>
    <col min="8" max="8" width="10.3984375" style="60" bestFit="1" customWidth="1"/>
    <col min="9" max="11" width="12.59765625" style="60" bestFit="1" customWidth="1"/>
    <col min="12" max="13" width="16.59765625" style="60" bestFit="1" customWidth="1"/>
    <col min="14" max="16384" width="8.8984375" style="60"/>
  </cols>
  <sheetData>
    <row r="1" spans="1:13" x14ac:dyDescent="0.25">
      <c r="A1" s="60" t="s">
        <v>277</v>
      </c>
      <c r="B1" s="60" t="s">
        <v>290</v>
      </c>
    </row>
    <row r="3" spans="1:13" ht="14.4" x14ac:dyDescent="0.25">
      <c r="A3" s="100" t="s">
        <v>354</v>
      </c>
      <c r="B3" s="62" t="s">
        <v>281</v>
      </c>
      <c r="C3" s="62"/>
      <c r="H3" s="62"/>
      <c r="I3"/>
      <c r="J3"/>
      <c r="K3"/>
      <c r="L3"/>
      <c r="M3"/>
    </row>
    <row r="4" spans="1:13" s="65" customFormat="1" ht="14.4" x14ac:dyDescent="0.25">
      <c r="A4" s="65" t="s">
        <v>294</v>
      </c>
      <c r="B4" s="66" t="s">
        <v>52</v>
      </c>
      <c r="C4" s="66" t="s">
        <v>53</v>
      </c>
      <c r="D4" s="66" t="s">
        <v>49</v>
      </c>
      <c r="E4" s="66" t="s">
        <v>289</v>
      </c>
      <c r="F4" s="66" t="s">
        <v>50</v>
      </c>
      <c r="G4" s="66" t="s">
        <v>54</v>
      </c>
      <c r="H4" s="97" t="s">
        <v>276</v>
      </c>
      <c r="I4" s="39"/>
      <c r="J4" s="39"/>
      <c r="K4" s="39"/>
      <c r="L4" s="39"/>
      <c r="M4" s="39"/>
    </row>
    <row r="5" spans="1:13" ht="14.4" x14ac:dyDescent="0.25">
      <c r="A5" s="95" t="s">
        <v>34</v>
      </c>
      <c r="B5" s="61">
        <v>12376.246999999999</v>
      </c>
      <c r="C5" s="61">
        <v>126.8</v>
      </c>
      <c r="D5" s="61">
        <v>95</v>
      </c>
      <c r="E5" s="61"/>
      <c r="F5" s="61"/>
      <c r="G5" s="61">
        <v>425.6</v>
      </c>
      <c r="H5" s="61">
        <v>13023.646999999999</v>
      </c>
      <c r="I5"/>
      <c r="J5"/>
      <c r="K5"/>
      <c r="L5"/>
      <c r="M5"/>
    </row>
    <row r="6" spans="1:13" ht="14.4" x14ac:dyDescent="0.25">
      <c r="A6" s="96" t="s">
        <v>59</v>
      </c>
      <c r="B6" s="61">
        <v>52</v>
      </c>
      <c r="D6" s="61"/>
      <c r="E6" s="61"/>
      <c r="F6" s="61"/>
      <c r="G6" s="61">
        <v>25.6</v>
      </c>
      <c r="H6" s="61">
        <v>77.599999999999994</v>
      </c>
      <c r="I6"/>
      <c r="J6"/>
      <c r="K6"/>
      <c r="L6"/>
      <c r="M6"/>
    </row>
    <row r="7" spans="1:13" ht="14.4" x14ac:dyDescent="0.25">
      <c r="A7" s="96" t="s">
        <v>125</v>
      </c>
      <c r="B7" s="61">
        <v>1751.98</v>
      </c>
      <c r="C7" s="61">
        <v>76.8</v>
      </c>
      <c r="D7" s="61">
        <v>35</v>
      </c>
      <c r="E7" s="61"/>
      <c r="F7" s="61"/>
      <c r="G7" s="61"/>
      <c r="H7" s="61">
        <v>1863.78</v>
      </c>
      <c r="I7"/>
      <c r="J7"/>
      <c r="K7"/>
      <c r="L7"/>
      <c r="M7"/>
    </row>
    <row r="8" spans="1:13" ht="14.4" x14ac:dyDescent="0.25">
      <c r="A8" s="96" t="s">
        <v>128</v>
      </c>
      <c r="B8" s="61">
        <v>6276.7339999999995</v>
      </c>
      <c r="D8" s="61"/>
      <c r="E8" s="61"/>
      <c r="F8" s="61"/>
      <c r="G8" s="61"/>
      <c r="H8" s="61">
        <v>6276.7339999999995</v>
      </c>
      <c r="I8" s="78"/>
      <c r="J8"/>
      <c r="K8"/>
      <c r="L8"/>
      <c r="M8"/>
    </row>
    <row r="9" spans="1:13" ht="14.4" x14ac:dyDescent="0.25">
      <c r="A9" s="96" t="s">
        <v>126</v>
      </c>
      <c r="B9" s="61">
        <v>1235.973</v>
      </c>
      <c r="D9" s="61"/>
      <c r="E9" s="61"/>
      <c r="F9" s="61"/>
      <c r="G9" s="61"/>
      <c r="H9" s="61">
        <v>1235.973</v>
      </c>
      <c r="I9"/>
      <c r="J9"/>
      <c r="K9"/>
      <c r="L9"/>
      <c r="M9"/>
    </row>
    <row r="10" spans="1:13" ht="14.4" x14ac:dyDescent="0.25">
      <c r="A10" s="96" t="s">
        <v>5</v>
      </c>
      <c r="B10" s="61">
        <v>2860.7599999999998</v>
      </c>
      <c r="C10" s="61">
        <v>50</v>
      </c>
      <c r="D10" s="61"/>
      <c r="E10" s="61"/>
      <c r="F10" s="61"/>
      <c r="G10" s="61"/>
      <c r="H10" s="61">
        <v>2910.7599999999998</v>
      </c>
      <c r="I10"/>
      <c r="J10"/>
      <c r="K10"/>
      <c r="L10"/>
      <c r="M10"/>
    </row>
    <row r="11" spans="1:13" ht="14.4" x14ac:dyDescent="0.25">
      <c r="A11" s="96" t="s">
        <v>64</v>
      </c>
      <c r="B11" s="61">
        <v>198.8</v>
      </c>
      <c r="D11" s="61"/>
      <c r="E11" s="61"/>
      <c r="F11" s="61"/>
      <c r="G11" s="61"/>
      <c r="H11" s="61">
        <v>198.8</v>
      </c>
      <c r="I11"/>
      <c r="J11"/>
      <c r="K11"/>
      <c r="L11"/>
      <c r="M11"/>
    </row>
    <row r="12" spans="1:13" ht="14.4" x14ac:dyDescent="0.25">
      <c r="A12" s="96" t="s">
        <v>146</v>
      </c>
      <c r="D12" s="61">
        <v>60</v>
      </c>
      <c r="E12" s="61"/>
      <c r="F12" s="61"/>
      <c r="G12" s="61"/>
      <c r="H12" s="61">
        <v>60</v>
      </c>
      <c r="I12"/>
      <c r="J12"/>
      <c r="K12"/>
      <c r="L12"/>
      <c r="M12"/>
    </row>
    <row r="13" spans="1:13" ht="14.4" x14ac:dyDescent="0.25">
      <c r="A13" s="96" t="s">
        <v>78</v>
      </c>
      <c r="D13" s="61"/>
      <c r="E13" s="61"/>
      <c r="F13" s="61"/>
      <c r="G13" s="61">
        <v>400</v>
      </c>
      <c r="H13" s="61">
        <v>400</v>
      </c>
      <c r="I13"/>
      <c r="J13"/>
      <c r="K13"/>
      <c r="L13"/>
      <c r="M13"/>
    </row>
    <row r="14" spans="1:13" ht="14.4" x14ac:dyDescent="0.25">
      <c r="A14" s="95" t="s">
        <v>40</v>
      </c>
      <c r="D14" s="61"/>
      <c r="E14" s="61"/>
      <c r="F14" s="61"/>
      <c r="G14" s="61"/>
      <c r="H14" s="61"/>
      <c r="I14"/>
      <c r="J14"/>
      <c r="K14"/>
      <c r="L14"/>
      <c r="M14"/>
    </row>
    <row r="15" spans="1:13" ht="14.4" x14ac:dyDescent="0.25">
      <c r="A15" s="96" t="s">
        <v>169</v>
      </c>
      <c r="D15" s="61"/>
      <c r="E15" s="61"/>
      <c r="F15" s="61"/>
      <c r="G15" s="61"/>
      <c r="H15" s="61"/>
      <c r="I15"/>
      <c r="J15"/>
      <c r="K15"/>
      <c r="L15"/>
      <c r="M15"/>
    </row>
    <row r="16" spans="1:13" ht="14.4" x14ac:dyDescent="0.25">
      <c r="A16" s="96" t="s">
        <v>165</v>
      </c>
      <c r="D16" s="61"/>
      <c r="E16" s="61"/>
      <c r="F16" s="61"/>
      <c r="G16" s="61"/>
      <c r="H16" s="61"/>
      <c r="I16"/>
      <c r="J16"/>
      <c r="K16"/>
      <c r="L16"/>
      <c r="M16"/>
    </row>
    <row r="17" spans="1:13" ht="14.4" x14ac:dyDescent="0.25">
      <c r="A17" s="96" t="s">
        <v>130</v>
      </c>
      <c r="D17" s="61"/>
      <c r="E17" s="61"/>
      <c r="F17" s="61"/>
      <c r="G17" s="61"/>
      <c r="H17" s="61"/>
      <c r="I17"/>
      <c r="J17"/>
      <c r="K17"/>
      <c r="L17"/>
      <c r="M17"/>
    </row>
    <row r="18" spans="1:13" ht="14.4" x14ac:dyDescent="0.25">
      <c r="A18" s="96" t="s">
        <v>133</v>
      </c>
      <c r="D18" s="61"/>
      <c r="E18" s="61"/>
      <c r="F18" s="61"/>
      <c r="G18" s="61"/>
      <c r="H18" s="61"/>
      <c r="I18"/>
      <c r="J18"/>
      <c r="K18"/>
      <c r="L18"/>
      <c r="M18"/>
    </row>
    <row r="19" spans="1:13" ht="14.4" x14ac:dyDescent="0.25">
      <c r="A19" s="96" t="s">
        <v>163</v>
      </c>
      <c r="D19" s="61"/>
      <c r="E19" s="61"/>
      <c r="F19" s="61"/>
      <c r="G19" s="61"/>
      <c r="H19" s="61"/>
      <c r="I19"/>
      <c r="J19"/>
      <c r="K19"/>
      <c r="L19"/>
      <c r="M19"/>
    </row>
    <row r="20" spans="1:13" ht="14.4" x14ac:dyDescent="0.25">
      <c r="A20" s="96" t="s">
        <v>71</v>
      </c>
      <c r="D20" s="61"/>
      <c r="E20" s="61"/>
      <c r="F20" s="61"/>
      <c r="G20" s="61"/>
      <c r="H20" s="61"/>
      <c r="I20"/>
      <c r="J20"/>
      <c r="K20"/>
      <c r="L20"/>
      <c r="M20"/>
    </row>
    <row r="21" spans="1:13" ht="14.4" x14ac:dyDescent="0.25">
      <c r="A21" s="96" t="s">
        <v>131</v>
      </c>
      <c r="D21" s="61"/>
      <c r="E21" s="61"/>
      <c r="F21" s="61"/>
      <c r="G21" s="61"/>
      <c r="H21" s="61"/>
      <c r="I21"/>
      <c r="J21"/>
      <c r="K21"/>
      <c r="L21"/>
      <c r="M21"/>
    </row>
    <row r="22" spans="1:13" ht="14.4" x14ac:dyDescent="0.25">
      <c r="A22" s="96" t="s">
        <v>6</v>
      </c>
      <c r="D22" s="61"/>
      <c r="E22" s="61"/>
      <c r="F22" s="61"/>
      <c r="G22" s="61"/>
      <c r="H22" s="61"/>
      <c r="I22"/>
      <c r="J22"/>
      <c r="K22"/>
      <c r="L22"/>
      <c r="M22"/>
    </row>
    <row r="23" spans="1:13" ht="14.4" x14ac:dyDescent="0.25">
      <c r="A23" s="96" t="s">
        <v>164</v>
      </c>
      <c r="D23" s="61"/>
      <c r="E23" s="61"/>
      <c r="F23" s="61"/>
      <c r="G23" s="61"/>
      <c r="H23" s="61"/>
      <c r="I23"/>
      <c r="J23"/>
      <c r="K23"/>
      <c r="L23"/>
      <c r="M23"/>
    </row>
    <row r="24" spans="1:13" ht="14.4" x14ac:dyDescent="0.25">
      <c r="A24" s="96" t="s">
        <v>166</v>
      </c>
      <c r="D24" s="61"/>
      <c r="E24" s="61"/>
      <c r="F24" s="61"/>
      <c r="G24" s="61"/>
      <c r="H24" s="61"/>
      <c r="I24"/>
      <c r="J24"/>
      <c r="K24"/>
      <c r="L24"/>
      <c r="M24"/>
    </row>
    <row r="25" spans="1:13" ht="14.4" x14ac:dyDescent="0.25">
      <c r="A25" s="96" t="s">
        <v>167</v>
      </c>
      <c r="D25" s="61"/>
      <c r="E25" s="61"/>
      <c r="F25" s="61"/>
      <c r="G25" s="61"/>
      <c r="H25" s="61"/>
      <c r="I25"/>
      <c r="J25"/>
      <c r="K25"/>
      <c r="L25"/>
      <c r="M25"/>
    </row>
    <row r="26" spans="1:13" ht="14.4" x14ac:dyDescent="0.25">
      <c r="A26" s="95" t="s">
        <v>60</v>
      </c>
      <c r="D26" s="61"/>
      <c r="E26" s="61"/>
      <c r="F26" s="61"/>
      <c r="G26" s="61"/>
      <c r="H26" s="61"/>
      <c r="I26"/>
      <c r="J26"/>
      <c r="K26"/>
      <c r="L26"/>
      <c r="M26"/>
    </row>
    <row r="27" spans="1:13" ht="14.4" x14ac:dyDescent="0.25">
      <c r="A27" s="96" t="s">
        <v>169</v>
      </c>
      <c r="D27" s="61"/>
      <c r="E27" s="61"/>
      <c r="F27" s="61"/>
      <c r="G27" s="61"/>
      <c r="H27" s="61"/>
      <c r="I27"/>
      <c r="J27"/>
      <c r="K27"/>
      <c r="L27"/>
      <c r="M27"/>
    </row>
    <row r="28" spans="1:13" ht="14.4" x14ac:dyDescent="0.25">
      <c r="A28" s="96" t="s">
        <v>170</v>
      </c>
      <c r="D28" s="61"/>
      <c r="E28" s="61"/>
      <c r="F28" s="61"/>
      <c r="G28" s="61"/>
      <c r="H28" s="61"/>
      <c r="I28"/>
      <c r="J28"/>
      <c r="K28"/>
      <c r="L28"/>
      <c r="M28"/>
    </row>
    <row r="29" spans="1:13" ht="14.4" x14ac:dyDescent="0.25">
      <c r="A29" s="96" t="s">
        <v>175</v>
      </c>
      <c r="D29" s="61"/>
      <c r="E29" s="61"/>
      <c r="F29" s="61"/>
      <c r="G29" s="61"/>
      <c r="H29" s="61"/>
      <c r="I29"/>
      <c r="J29"/>
      <c r="K29"/>
      <c r="L29"/>
      <c r="M29"/>
    </row>
    <row r="30" spans="1:13" ht="14.4" x14ac:dyDescent="0.25">
      <c r="A30" s="96" t="s">
        <v>172</v>
      </c>
      <c r="D30" s="61"/>
      <c r="E30" s="61"/>
      <c r="F30" s="61"/>
      <c r="G30" s="61"/>
      <c r="H30" s="61"/>
      <c r="I30"/>
      <c r="J30"/>
      <c r="K30"/>
      <c r="L30"/>
      <c r="M30"/>
    </row>
    <row r="31" spans="1:13" ht="14.4" x14ac:dyDescent="0.25">
      <c r="A31" s="96" t="s">
        <v>177</v>
      </c>
      <c r="D31" s="61"/>
      <c r="E31" s="61"/>
      <c r="F31" s="61"/>
      <c r="G31" s="61"/>
      <c r="H31" s="61"/>
      <c r="I31"/>
      <c r="J31"/>
      <c r="K31"/>
      <c r="L31"/>
      <c r="M31"/>
    </row>
    <row r="32" spans="1:13" ht="14.4" x14ac:dyDescent="0.25">
      <c r="A32" s="96" t="s">
        <v>81</v>
      </c>
      <c r="D32" s="61"/>
      <c r="E32" s="61"/>
      <c r="F32" s="61"/>
      <c r="G32" s="61"/>
      <c r="H32" s="61"/>
      <c r="I32"/>
      <c r="J32"/>
      <c r="K32"/>
      <c r="L32"/>
      <c r="M32"/>
    </row>
    <row r="33" spans="1:13" ht="14.4" x14ac:dyDescent="0.25">
      <c r="A33" s="96" t="s">
        <v>1</v>
      </c>
      <c r="D33" s="61"/>
      <c r="E33" s="61"/>
      <c r="F33" s="61"/>
      <c r="G33" s="61"/>
      <c r="H33" s="61"/>
      <c r="I33"/>
      <c r="J33"/>
      <c r="K33"/>
      <c r="L33"/>
      <c r="M33"/>
    </row>
    <row r="34" spans="1:13" ht="14.4" x14ac:dyDescent="0.25">
      <c r="A34" s="96" t="s">
        <v>176</v>
      </c>
      <c r="D34" s="61"/>
      <c r="E34" s="61"/>
      <c r="F34" s="61"/>
      <c r="G34" s="61"/>
      <c r="H34" s="61"/>
      <c r="I34"/>
      <c r="J34"/>
      <c r="K34"/>
      <c r="L34"/>
      <c r="M34"/>
    </row>
    <row r="35" spans="1:13" ht="14.4" x14ac:dyDescent="0.25">
      <c r="A35" s="96" t="s">
        <v>86</v>
      </c>
      <c r="D35" s="61"/>
      <c r="E35" s="61"/>
      <c r="F35" s="61"/>
      <c r="G35" s="61"/>
      <c r="H35" s="61"/>
      <c r="I35"/>
      <c r="J35"/>
      <c r="K35"/>
      <c r="L35"/>
      <c r="M35"/>
    </row>
    <row r="36" spans="1:13" ht="14.4" x14ac:dyDescent="0.25">
      <c r="A36" s="96" t="s">
        <v>80</v>
      </c>
      <c r="D36" s="61"/>
      <c r="E36" s="61"/>
      <c r="F36" s="61"/>
      <c r="G36" s="61"/>
      <c r="H36" s="61"/>
      <c r="I36"/>
      <c r="J36"/>
      <c r="K36"/>
      <c r="L36"/>
      <c r="M36"/>
    </row>
    <row r="37" spans="1:13" ht="14.4" x14ac:dyDescent="0.25">
      <c r="A37" s="95" t="s">
        <v>63</v>
      </c>
      <c r="C37" s="61">
        <v>100.85</v>
      </c>
      <c r="D37" s="61">
        <v>80</v>
      </c>
      <c r="E37" s="61"/>
      <c r="F37" s="61"/>
      <c r="G37" s="61">
        <v>208.52</v>
      </c>
      <c r="H37" s="61">
        <v>389.37</v>
      </c>
      <c r="I37"/>
      <c r="J37"/>
      <c r="K37"/>
      <c r="L37"/>
      <c r="M37"/>
    </row>
    <row r="38" spans="1:13" ht="14.4" x14ac:dyDescent="0.25">
      <c r="A38" s="96" t="s">
        <v>136</v>
      </c>
      <c r="C38" s="61">
        <v>18.95</v>
      </c>
      <c r="D38" s="61"/>
      <c r="E38" s="61"/>
      <c r="F38" s="61"/>
      <c r="G38" s="61">
        <v>30.52</v>
      </c>
      <c r="H38" s="61">
        <v>49.47</v>
      </c>
      <c r="I38"/>
      <c r="J38"/>
      <c r="K38"/>
      <c r="L38"/>
      <c r="M38"/>
    </row>
    <row r="39" spans="1:13" ht="14.4" x14ac:dyDescent="0.25">
      <c r="A39" s="96" t="s">
        <v>173</v>
      </c>
      <c r="C39" s="61">
        <v>53</v>
      </c>
      <c r="D39" s="61">
        <v>80</v>
      </c>
      <c r="E39" s="61"/>
      <c r="F39" s="61"/>
      <c r="G39" s="61">
        <v>120</v>
      </c>
      <c r="H39" s="61">
        <v>253</v>
      </c>
      <c r="I39"/>
      <c r="J39"/>
      <c r="K39"/>
      <c r="L39"/>
      <c r="M39"/>
    </row>
    <row r="40" spans="1:13" ht="14.4" x14ac:dyDescent="0.25">
      <c r="A40" s="96" t="s">
        <v>137</v>
      </c>
      <c r="C40" s="61">
        <v>28.9</v>
      </c>
      <c r="D40" s="61"/>
      <c r="E40" s="61"/>
      <c r="F40" s="61"/>
      <c r="G40" s="61"/>
      <c r="H40" s="61">
        <v>28.9</v>
      </c>
      <c r="I40"/>
      <c r="J40"/>
      <c r="K40"/>
      <c r="L40"/>
      <c r="M40"/>
    </row>
    <row r="41" spans="1:13" ht="14.4" x14ac:dyDescent="0.25">
      <c r="A41" s="96" t="s">
        <v>151</v>
      </c>
      <c r="D41" s="61"/>
      <c r="E41" s="61"/>
      <c r="F41" s="61"/>
      <c r="G41" s="61">
        <v>58</v>
      </c>
      <c r="H41" s="61">
        <v>58</v>
      </c>
      <c r="I41"/>
      <c r="J41"/>
      <c r="K41"/>
      <c r="L41"/>
      <c r="M41"/>
    </row>
    <row r="42" spans="1:13" ht="14.4" x14ac:dyDescent="0.25">
      <c r="A42" s="95" t="s">
        <v>67</v>
      </c>
      <c r="D42" s="61">
        <v>690</v>
      </c>
      <c r="E42" s="61"/>
      <c r="F42" s="61"/>
      <c r="G42" s="61"/>
      <c r="H42" s="61">
        <v>690</v>
      </c>
      <c r="I42"/>
      <c r="J42"/>
      <c r="K42"/>
      <c r="L42"/>
      <c r="M42"/>
    </row>
    <row r="43" spans="1:13" ht="14.4" x14ac:dyDescent="0.25">
      <c r="A43" s="96" t="s">
        <v>169</v>
      </c>
      <c r="D43" s="61"/>
      <c r="E43" s="61"/>
      <c r="F43" s="61"/>
      <c r="G43" s="61"/>
      <c r="H43" s="61"/>
      <c r="I43"/>
      <c r="J43"/>
      <c r="K43"/>
      <c r="L43"/>
      <c r="M43"/>
    </row>
    <row r="44" spans="1:13" ht="14.4" x14ac:dyDescent="0.25">
      <c r="A44" s="96" t="s">
        <v>170</v>
      </c>
      <c r="D44" s="61"/>
      <c r="E44" s="61"/>
      <c r="F44" s="61"/>
      <c r="G44" s="61"/>
      <c r="H44" s="61"/>
      <c r="I44"/>
      <c r="J44"/>
      <c r="K44"/>
      <c r="L44"/>
      <c r="M44"/>
    </row>
    <row r="45" spans="1:13" ht="14.4" x14ac:dyDescent="0.25">
      <c r="A45" s="96" t="s">
        <v>175</v>
      </c>
      <c r="D45" s="61"/>
      <c r="E45" s="61"/>
      <c r="F45" s="61"/>
      <c r="G45" s="61"/>
      <c r="H45" s="61"/>
      <c r="I45"/>
      <c r="J45"/>
      <c r="K45"/>
      <c r="L45"/>
      <c r="M45"/>
    </row>
    <row r="46" spans="1:13" ht="14.4" x14ac:dyDescent="0.25">
      <c r="A46" s="96" t="s">
        <v>172</v>
      </c>
      <c r="D46" s="61"/>
      <c r="E46" s="61"/>
      <c r="F46" s="61"/>
      <c r="G46" s="61"/>
      <c r="H46" s="61"/>
      <c r="I46"/>
      <c r="J46"/>
      <c r="K46"/>
      <c r="L46"/>
      <c r="M46"/>
    </row>
    <row r="47" spans="1:13" ht="14.4" x14ac:dyDescent="0.25">
      <c r="A47" s="96" t="s">
        <v>67</v>
      </c>
      <c r="D47" s="61">
        <v>690</v>
      </c>
      <c r="E47" s="61"/>
      <c r="F47" s="61"/>
      <c r="G47" s="61"/>
      <c r="H47" s="61">
        <v>690</v>
      </c>
      <c r="I47"/>
      <c r="J47"/>
      <c r="K47"/>
      <c r="L47"/>
      <c r="M47"/>
    </row>
    <row r="48" spans="1:13" ht="14.4" x14ac:dyDescent="0.25">
      <c r="A48" s="96" t="s">
        <v>177</v>
      </c>
      <c r="D48" s="61"/>
      <c r="E48" s="61"/>
      <c r="F48" s="61"/>
      <c r="G48" s="61"/>
      <c r="H48" s="61"/>
      <c r="I48"/>
      <c r="J48"/>
      <c r="K48"/>
      <c r="L48"/>
      <c r="M48"/>
    </row>
    <row r="49" spans="1:13" ht="14.4" x14ac:dyDescent="0.25">
      <c r="A49" s="96" t="s">
        <v>81</v>
      </c>
      <c r="D49" s="61"/>
      <c r="E49" s="61"/>
      <c r="F49" s="61"/>
      <c r="G49" s="61"/>
      <c r="H49" s="61"/>
      <c r="I49"/>
      <c r="J49"/>
      <c r="K49"/>
      <c r="L49"/>
      <c r="M49"/>
    </row>
    <row r="50" spans="1:13" ht="14.4" x14ac:dyDescent="0.25">
      <c r="A50" s="96" t="s">
        <v>176</v>
      </c>
      <c r="D50" s="61"/>
      <c r="E50" s="61"/>
      <c r="F50" s="61"/>
      <c r="G50" s="61"/>
      <c r="H50" s="61"/>
      <c r="I50"/>
      <c r="J50"/>
      <c r="K50"/>
      <c r="L50"/>
      <c r="M50"/>
    </row>
    <row r="51" spans="1:13" ht="14.4" x14ac:dyDescent="0.25">
      <c r="A51" s="96" t="s">
        <v>86</v>
      </c>
      <c r="D51" s="61"/>
      <c r="E51" s="61"/>
      <c r="F51" s="61"/>
      <c r="G51" s="61"/>
      <c r="H51" s="61"/>
      <c r="I51"/>
      <c r="J51"/>
      <c r="K51"/>
      <c r="L51"/>
      <c r="M51"/>
    </row>
    <row r="52" spans="1:13" ht="14.4" x14ac:dyDescent="0.25">
      <c r="A52" s="95" t="s">
        <v>41</v>
      </c>
      <c r="D52" s="61">
        <v>1155</v>
      </c>
      <c r="E52" s="61"/>
      <c r="F52" s="61"/>
      <c r="G52" s="61"/>
      <c r="H52" s="61">
        <v>1155</v>
      </c>
      <c r="I52"/>
      <c r="J52"/>
      <c r="K52"/>
      <c r="L52"/>
      <c r="M52"/>
    </row>
    <row r="53" spans="1:13" ht="14.4" x14ac:dyDescent="0.25">
      <c r="A53" s="96" t="s">
        <v>169</v>
      </c>
      <c r="D53" s="61"/>
      <c r="E53" s="61"/>
      <c r="F53" s="61"/>
      <c r="G53" s="61"/>
      <c r="H53" s="61"/>
      <c r="I53"/>
      <c r="J53"/>
      <c r="K53"/>
      <c r="L53"/>
      <c r="M53"/>
    </row>
    <row r="54" spans="1:13" ht="14.4" x14ac:dyDescent="0.25">
      <c r="A54" s="96" t="s">
        <v>170</v>
      </c>
      <c r="D54" s="61"/>
      <c r="E54" s="61"/>
      <c r="F54" s="61"/>
      <c r="G54" s="61"/>
      <c r="H54" s="61"/>
      <c r="I54"/>
      <c r="J54"/>
      <c r="K54"/>
      <c r="L54"/>
      <c r="M54"/>
    </row>
    <row r="55" spans="1:13" ht="14.4" x14ac:dyDescent="0.25">
      <c r="A55" s="96" t="s">
        <v>175</v>
      </c>
      <c r="D55" s="61"/>
      <c r="E55" s="61"/>
      <c r="F55" s="61"/>
      <c r="G55" s="61"/>
      <c r="H55" s="61"/>
      <c r="I55"/>
      <c r="J55"/>
      <c r="K55"/>
      <c r="L55"/>
      <c r="M55"/>
    </row>
    <row r="56" spans="1:13" ht="14.4" x14ac:dyDescent="0.25">
      <c r="A56" s="96" t="s">
        <v>84</v>
      </c>
      <c r="D56" s="61"/>
      <c r="E56" s="61"/>
      <c r="F56" s="61"/>
      <c r="G56" s="61"/>
      <c r="H56" s="61"/>
      <c r="I56"/>
      <c r="J56"/>
      <c r="K56"/>
      <c r="L56"/>
      <c r="M56"/>
    </row>
    <row r="57" spans="1:13" ht="14.4" x14ac:dyDescent="0.25">
      <c r="A57" s="96" t="s">
        <v>41</v>
      </c>
      <c r="D57" s="61">
        <v>1155</v>
      </c>
      <c r="E57" s="61"/>
      <c r="F57" s="61"/>
      <c r="G57" s="61"/>
      <c r="H57" s="61">
        <v>1155</v>
      </c>
      <c r="I57"/>
      <c r="J57"/>
      <c r="K57"/>
      <c r="L57"/>
      <c r="M57"/>
    </row>
    <row r="58" spans="1:13" ht="14.4" x14ac:dyDescent="0.25">
      <c r="A58" s="96" t="s">
        <v>177</v>
      </c>
      <c r="D58" s="61"/>
      <c r="E58" s="61"/>
      <c r="F58" s="61"/>
      <c r="G58" s="61"/>
      <c r="H58" s="61"/>
      <c r="I58"/>
      <c r="J58"/>
      <c r="K58"/>
      <c r="L58"/>
      <c r="M58"/>
    </row>
    <row r="59" spans="1:13" ht="14.4" x14ac:dyDescent="0.25">
      <c r="A59" s="96" t="s">
        <v>81</v>
      </c>
      <c r="D59" s="61"/>
      <c r="E59" s="61"/>
      <c r="F59" s="61"/>
      <c r="G59" s="61"/>
      <c r="H59" s="61"/>
      <c r="I59"/>
      <c r="J59"/>
      <c r="K59"/>
      <c r="L59"/>
      <c r="M59"/>
    </row>
    <row r="60" spans="1:13" ht="14.4" x14ac:dyDescent="0.25">
      <c r="A60" s="96" t="s">
        <v>176</v>
      </c>
      <c r="D60" s="61"/>
      <c r="E60" s="61"/>
      <c r="F60" s="61"/>
      <c r="G60" s="61"/>
      <c r="H60" s="61"/>
      <c r="I60"/>
      <c r="J60"/>
      <c r="K60"/>
      <c r="L60"/>
      <c r="M60"/>
    </row>
    <row r="61" spans="1:13" ht="14.4" x14ac:dyDescent="0.25">
      <c r="A61" s="96" t="s">
        <v>86</v>
      </c>
      <c r="D61" s="61"/>
      <c r="E61" s="61"/>
      <c r="F61" s="61"/>
      <c r="G61" s="61"/>
      <c r="H61" s="61"/>
      <c r="I61"/>
      <c r="J61"/>
      <c r="K61"/>
      <c r="L61"/>
      <c r="M61"/>
    </row>
    <row r="62" spans="1:13" ht="14.4" x14ac:dyDescent="0.25">
      <c r="A62" s="95" t="s">
        <v>39</v>
      </c>
      <c r="B62" s="61">
        <v>213.57999999999998</v>
      </c>
      <c r="C62" s="61">
        <v>186.6</v>
      </c>
      <c r="D62" s="61">
        <v>302.5</v>
      </c>
      <c r="E62" s="61"/>
      <c r="F62" s="61"/>
      <c r="G62" s="61">
        <v>3021.53</v>
      </c>
      <c r="H62" s="61">
        <v>3724.2100000000005</v>
      </c>
      <c r="I62"/>
      <c r="J62"/>
      <c r="K62"/>
      <c r="L62"/>
      <c r="M62"/>
    </row>
    <row r="63" spans="1:13" ht="14.4" x14ac:dyDescent="0.25">
      <c r="A63" s="96" t="s">
        <v>4</v>
      </c>
      <c r="B63" s="61">
        <v>104.98</v>
      </c>
      <c r="D63" s="61"/>
      <c r="E63" s="61"/>
      <c r="F63" s="61"/>
      <c r="G63" s="61">
        <v>27.8</v>
      </c>
      <c r="H63" s="79">
        <v>132.78</v>
      </c>
      <c r="I63"/>
      <c r="J63"/>
      <c r="K63"/>
      <c r="L63"/>
      <c r="M63"/>
    </row>
    <row r="64" spans="1:13" ht="14.4" x14ac:dyDescent="0.25">
      <c r="A64" s="96" t="s">
        <v>74</v>
      </c>
      <c r="B64" s="61">
        <v>10.6</v>
      </c>
      <c r="C64" s="61">
        <v>47.3</v>
      </c>
      <c r="D64" s="61">
        <v>41.2</v>
      </c>
      <c r="E64" s="61"/>
      <c r="F64" s="61"/>
      <c r="G64" s="61">
        <v>80.05</v>
      </c>
      <c r="H64" s="61">
        <v>179.14999999999998</v>
      </c>
      <c r="I64"/>
      <c r="J64"/>
      <c r="K64"/>
      <c r="L64"/>
      <c r="M64"/>
    </row>
    <row r="65" spans="1:13" ht="14.4" x14ac:dyDescent="0.25">
      <c r="A65" s="96" t="s">
        <v>168</v>
      </c>
      <c r="B65" s="61">
        <v>98</v>
      </c>
      <c r="C65" s="61">
        <v>60</v>
      </c>
      <c r="D65" s="61">
        <v>4</v>
      </c>
      <c r="E65" s="61"/>
      <c r="F65" s="61"/>
      <c r="G65" s="61">
        <v>27.5</v>
      </c>
      <c r="H65" s="61">
        <v>189.5</v>
      </c>
      <c r="I65"/>
      <c r="J65"/>
      <c r="K65"/>
      <c r="L65"/>
      <c r="M65"/>
    </row>
    <row r="66" spans="1:13" ht="14.4" x14ac:dyDescent="0.25">
      <c r="A66" s="96" t="s">
        <v>102</v>
      </c>
      <c r="C66" s="61">
        <v>79.3</v>
      </c>
      <c r="D66" s="61"/>
      <c r="E66" s="61"/>
      <c r="F66" s="61"/>
      <c r="G66" s="61">
        <v>26.9</v>
      </c>
      <c r="H66" s="61">
        <v>106.19999999999999</v>
      </c>
      <c r="I66"/>
      <c r="J66"/>
      <c r="K66"/>
      <c r="L66"/>
      <c r="M66"/>
    </row>
    <row r="67" spans="1:13" ht="14.4" x14ac:dyDescent="0.25">
      <c r="A67" s="96" t="s">
        <v>100</v>
      </c>
      <c r="D67" s="61">
        <v>122.3</v>
      </c>
      <c r="E67" s="61"/>
      <c r="F67" s="61"/>
      <c r="G67" s="61">
        <v>1995</v>
      </c>
      <c r="H67" s="61">
        <v>2117.3000000000002</v>
      </c>
      <c r="I67"/>
      <c r="J67"/>
      <c r="K67"/>
      <c r="L67"/>
      <c r="M67"/>
    </row>
    <row r="68" spans="1:13" ht="14.4" x14ac:dyDescent="0.25">
      <c r="A68" s="96" t="s">
        <v>97</v>
      </c>
      <c r="D68" s="61">
        <v>135</v>
      </c>
      <c r="E68" s="61"/>
      <c r="F68" s="61"/>
      <c r="G68" s="61">
        <v>584</v>
      </c>
      <c r="H68" s="61">
        <v>719</v>
      </c>
      <c r="I68"/>
      <c r="J68"/>
      <c r="K68"/>
      <c r="L68"/>
      <c r="M68"/>
    </row>
    <row r="69" spans="1:13" ht="14.4" x14ac:dyDescent="0.25">
      <c r="A69" s="96" t="s">
        <v>3</v>
      </c>
      <c r="D69" s="61"/>
      <c r="E69" s="61"/>
      <c r="F69" s="61"/>
      <c r="G69" s="61">
        <v>137.5</v>
      </c>
      <c r="H69" s="61">
        <v>137.5</v>
      </c>
      <c r="I69"/>
      <c r="J69"/>
      <c r="K69"/>
      <c r="L69"/>
      <c r="M69"/>
    </row>
    <row r="70" spans="1:13" ht="14.4" x14ac:dyDescent="0.25">
      <c r="A70" s="96" t="s">
        <v>0</v>
      </c>
      <c r="D70" s="61"/>
      <c r="E70" s="61"/>
      <c r="F70" s="61"/>
      <c r="G70" s="61">
        <v>142.78</v>
      </c>
      <c r="H70" s="61">
        <v>142.78</v>
      </c>
      <c r="I70"/>
      <c r="J70"/>
      <c r="K70"/>
      <c r="L70"/>
      <c r="M70"/>
    </row>
    <row r="71" spans="1:13" ht="14.4" x14ac:dyDescent="0.25">
      <c r="A71" s="95" t="s">
        <v>55</v>
      </c>
      <c r="D71" s="61"/>
      <c r="E71" s="61"/>
      <c r="F71" s="61"/>
      <c r="G71" s="61"/>
      <c r="H71" s="61"/>
      <c r="I71"/>
      <c r="J71"/>
      <c r="K71"/>
      <c r="L71"/>
      <c r="M71"/>
    </row>
    <row r="72" spans="1:13" ht="14.4" x14ac:dyDescent="0.25">
      <c r="A72" s="96" t="s">
        <v>160</v>
      </c>
      <c r="D72" s="61"/>
      <c r="E72" s="61"/>
      <c r="F72" s="61"/>
      <c r="G72" s="61"/>
      <c r="H72" s="61"/>
      <c r="I72"/>
      <c r="J72"/>
      <c r="K72"/>
      <c r="L72"/>
      <c r="M72"/>
    </row>
    <row r="73" spans="1:13" ht="14.4" x14ac:dyDescent="0.25">
      <c r="A73" s="96" t="s">
        <v>169</v>
      </c>
      <c r="D73" s="61"/>
      <c r="E73" s="61"/>
      <c r="F73" s="61"/>
      <c r="G73" s="61"/>
      <c r="H73" s="61"/>
      <c r="I73"/>
      <c r="J73"/>
      <c r="K73"/>
      <c r="L73"/>
      <c r="M73"/>
    </row>
    <row r="74" spans="1:13" ht="14.4" x14ac:dyDescent="0.25">
      <c r="A74" s="96" t="s">
        <v>175</v>
      </c>
      <c r="D74" s="61"/>
      <c r="E74" s="61"/>
      <c r="F74" s="61"/>
      <c r="G74" s="61"/>
      <c r="H74" s="61"/>
      <c r="I74"/>
      <c r="J74"/>
      <c r="K74"/>
      <c r="L74"/>
      <c r="M74"/>
    </row>
    <row r="75" spans="1:13" ht="14.4" x14ac:dyDescent="0.25">
      <c r="A75" s="96" t="s">
        <v>177</v>
      </c>
      <c r="D75" s="61"/>
      <c r="E75" s="61"/>
      <c r="F75" s="61"/>
      <c r="G75" s="61"/>
      <c r="H75" s="61"/>
      <c r="I75"/>
      <c r="J75"/>
      <c r="K75"/>
      <c r="L75"/>
      <c r="M75"/>
    </row>
    <row r="76" spans="1:13" ht="14.4" x14ac:dyDescent="0.25">
      <c r="A76" s="96" t="s">
        <v>176</v>
      </c>
      <c r="D76" s="61"/>
      <c r="E76" s="61"/>
      <c r="F76" s="61"/>
      <c r="G76" s="61"/>
      <c r="H76" s="61"/>
      <c r="I76"/>
      <c r="J76"/>
      <c r="K76"/>
      <c r="L76"/>
      <c r="M76"/>
    </row>
    <row r="77" spans="1:13" ht="14.4" x14ac:dyDescent="0.25">
      <c r="A77" s="95" t="s">
        <v>36</v>
      </c>
      <c r="D77" s="61"/>
      <c r="E77" s="61"/>
      <c r="F77" s="61"/>
      <c r="G77" s="61"/>
      <c r="H77" s="61"/>
      <c r="I77"/>
      <c r="J77"/>
      <c r="K77"/>
      <c r="L77"/>
      <c r="M77"/>
    </row>
    <row r="78" spans="1:13" ht="14.4" x14ac:dyDescent="0.25">
      <c r="A78" s="96" t="s">
        <v>170</v>
      </c>
      <c r="D78" s="61"/>
      <c r="E78" s="61"/>
      <c r="F78" s="61"/>
      <c r="G78" s="61"/>
      <c r="H78" s="61"/>
      <c r="I78"/>
      <c r="J78"/>
      <c r="K78"/>
      <c r="L78"/>
      <c r="M78"/>
    </row>
    <row r="79" spans="1:13" ht="14.4" x14ac:dyDescent="0.25">
      <c r="A79" s="96" t="s">
        <v>82</v>
      </c>
      <c r="D79" s="61"/>
      <c r="E79" s="61"/>
      <c r="F79" s="61"/>
      <c r="G79" s="61"/>
      <c r="H79" s="61"/>
      <c r="I79"/>
      <c r="J79"/>
      <c r="K79"/>
      <c r="L79"/>
      <c r="M79"/>
    </row>
    <row r="80" spans="1:13" ht="14.4" x14ac:dyDescent="0.25">
      <c r="A80" s="96" t="s">
        <v>172</v>
      </c>
      <c r="D80" s="61"/>
      <c r="E80" s="61"/>
      <c r="F80" s="61"/>
      <c r="G80" s="61"/>
      <c r="H80" s="61"/>
      <c r="I80"/>
      <c r="J80"/>
      <c r="K80"/>
      <c r="L80"/>
      <c r="M80"/>
    </row>
    <row r="81" spans="1:13" ht="14.4" x14ac:dyDescent="0.25">
      <c r="A81" s="96" t="s">
        <v>84</v>
      </c>
      <c r="D81" s="61"/>
      <c r="E81" s="61"/>
      <c r="F81" s="61"/>
      <c r="G81" s="61"/>
      <c r="H81" s="61"/>
      <c r="I81"/>
      <c r="J81"/>
      <c r="K81"/>
      <c r="L81"/>
      <c r="M81"/>
    </row>
    <row r="82" spans="1:13" ht="14.4" x14ac:dyDescent="0.25">
      <c r="A82" s="96" t="s">
        <v>81</v>
      </c>
      <c r="D82" s="61"/>
      <c r="E82" s="61"/>
      <c r="F82" s="61"/>
      <c r="G82" s="61"/>
      <c r="H82" s="61"/>
      <c r="I82"/>
      <c r="J82"/>
      <c r="K82"/>
      <c r="L82"/>
      <c r="M82"/>
    </row>
    <row r="83" spans="1:13" ht="14.4" x14ac:dyDescent="0.25">
      <c r="A83" s="96" t="s">
        <v>1</v>
      </c>
      <c r="D83" s="61"/>
      <c r="E83" s="61"/>
      <c r="F83" s="61"/>
      <c r="G83" s="61"/>
      <c r="H83" s="61"/>
      <c r="I83"/>
      <c r="J83"/>
      <c r="K83"/>
      <c r="L83"/>
      <c r="M83"/>
    </row>
    <row r="84" spans="1:13" ht="14.4" x14ac:dyDescent="0.25">
      <c r="A84" s="96" t="s">
        <v>86</v>
      </c>
      <c r="D84" s="61"/>
      <c r="E84" s="61"/>
      <c r="F84" s="61"/>
      <c r="G84" s="61"/>
      <c r="H84" s="61"/>
      <c r="I84"/>
      <c r="J84"/>
      <c r="K84"/>
      <c r="L84"/>
      <c r="M84"/>
    </row>
    <row r="85" spans="1:13" ht="14.4" x14ac:dyDescent="0.25">
      <c r="A85" s="96" t="s">
        <v>80</v>
      </c>
      <c r="D85" s="61"/>
      <c r="E85" s="61"/>
      <c r="F85" s="61"/>
      <c r="G85" s="61"/>
      <c r="H85" s="61"/>
      <c r="I85"/>
      <c r="J85"/>
      <c r="K85"/>
      <c r="L85"/>
      <c r="M85"/>
    </row>
    <row r="86" spans="1:13" ht="14.4" x14ac:dyDescent="0.25">
      <c r="A86" s="95" t="s">
        <v>32</v>
      </c>
      <c r="B86" s="61">
        <v>311</v>
      </c>
      <c r="C86" s="61">
        <v>3284.4</v>
      </c>
      <c r="D86" s="61">
        <v>2481.6999999999998</v>
      </c>
      <c r="E86" s="61"/>
      <c r="F86" s="61"/>
      <c r="G86" s="61">
        <v>460</v>
      </c>
      <c r="H86" s="61">
        <v>6537.1</v>
      </c>
      <c r="I86"/>
      <c r="J86"/>
      <c r="K86"/>
      <c r="L86"/>
      <c r="M86"/>
    </row>
    <row r="87" spans="1:13" ht="14.4" x14ac:dyDescent="0.25">
      <c r="A87" s="96" t="s">
        <v>73</v>
      </c>
      <c r="C87" s="61">
        <v>2169</v>
      </c>
      <c r="D87" s="61"/>
      <c r="E87" s="61"/>
      <c r="F87" s="61"/>
      <c r="G87" s="61"/>
      <c r="H87" s="61">
        <v>2169</v>
      </c>
      <c r="I87"/>
      <c r="J87"/>
      <c r="K87"/>
      <c r="L87"/>
      <c r="M87"/>
    </row>
    <row r="88" spans="1:13" ht="14.4" x14ac:dyDescent="0.25">
      <c r="A88" s="96" t="s">
        <v>72</v>
      </c>
      <c r="C88" s="61">
        <v>953</v>
      </c>
      <c r="D88" s="61"/>
      <c r="E88" s="61"/>
      <c r="F88" s="61"/>
      <c r="G88" s="61"/>
      <c r="H88" s="61">
        <v>953</v>
      </c>
      <c r="I88"/>
      <c r="J88"/>
      <c r="K88"/>
      <c r="L88"/>
      <c r="M88"/>
    </row>
    <row r="89" spans="1:13" ht="14.4" x14ac:dyDescent="0.25">
      <c r="A89" s="96" t="s">
        <v>161</v>
      </c>
      <c r="B89" s="61">
        <v>257</v>
      </c>
      <c r="C89" s="61">
        <v>133.6</v>
      </c>
      <c r="D89" s="61">
        <v>181.7</v>
      </c>
      <c r="E89" s="61"/>
      <c r="F89" s="61"/>
      <c r="G89" s="61">
        <v>427.5</v>
      </c>
      <c r="H89" s="61">
        <v>999.8</v>
      </c>
      <c r="I89"/>
      <c r="J89"/>
      <c r="K89"/>
      <c r="L89"/>
      <c r="M89"/>
    </row>
    <row r="90" spans="1:13" ht="14.4" x14ac:dyDescent="0.25">
      <c r="A90" s="96" t="s">
        <v>58</v>
      </c>
      <c r="B90" s="61">
        <v>54</v>
      </c>
      <c r="C90" s="61">
        <v>28.8</v>
      </c>
      <c r="D90" s="61"/>
      <c r="E90" s="61"/>
      <c r="F90" s="61"/>
      <c r="G90" s="61">
        <v>32.5</v>
      </c>
      <c r="H90" s="61">
        <v>115.3</v>
      </c>
      <c r="I90"/>
      <c r="J90"/>
      <c r="K90"/>
      <c r="L90"/>
      <c r="M90"/>
    </row>
    <row r="91" spans="1:13" ht="14.4" x14ac:dyDescent="0.25">
      <c r="A91" s="96" t="s">
        <v>92</v>
      </c>
      <c r="D91" s="61">
        <v>2300</v>
      </c>
      <c r="E91" s="61"/>
      <c r="F91" s="61"/>
      <c r="G91" s="61"/>
      <c r="H91" s="61">
        <v>2300</v>
      </c>
      <c r="I91"/>
      <c r="J91"/>
      <c r="K91"/>
      <c r="L91"/>
      <c r="M91"/>
    </row>
    <row r="92" spans="1:13" ht="14.4" x14ac:dyDescent="0.25">
      <c r="A92" s="95" t="s">
        <v>47</v>
      </c>
      <c r="D92" s="61"/>
      <c r="E92" s="61"/>
      <c r="F92" s="61"/>
      <c r="G92" s="61"/>
      <c r="H92" s="61"/>
      <c r="I92"/>
      <c r="J92"/>
      <c r="K92"/>
      <c r="L92"/>
      <c r="M92"/>
    </row>
    <row r="93" spans="1:13" ht="14.4" x14ac:dyDescent="0.25">
      <c r="A93" s="96" t="s">
        <v>169</v>
      </c>
      <c r="D93" s="61"/>
      <c r="E93" s="61"/>
      <c r="F93" s="61"/>
      <c r="G93" s="61"/>
      <c r="H93" s="61"/>
      <c r="I93"/>
      <c r="J93"/>
      <c r="K93"/>
      <c r="L93"/>
      <c r="M93"/>
    </row>
    <row r="94" spans="1:13" ht="14.4" x14ac:dyDescent="0.25">
      <c r="A94" s="96" t="s">
        <v>175</v>
      </c>
      <c r="D94" s="61"/>
      <c r="E94" s="61"/>
      <c r="F94" s="61"/>
      <c r="G94" s="61"/>
      <c r="H94" s="61"/>
      <c r="I94"/>
      <c r="J94"/>
      <c r="K94"/>
      <c r="L94"/>
      <c r="M94"/>
    </row>
    <row r="95" spans="1:13" ht="14.4" x14ac:dyDescent="0.25">
      <c r="A95" s="96" t="s">
        <v>177</v>
      </c>
      <c r="D95" s="61"/>
      <c r="E95" s="61"/>
      <c r="F95" s="61"/>
      <c r="G95" s="61"/>
      <c r="H95" s="61"/>
      <c r="I95"/>
      <c r="J95"/>
      <c r="K95"/>
      <c r="L95"/>
      <c r="M95"/>
    </row>
    <row r="96" spans="1:13" ht="14.4" x14ac:dyDescent="0.25">
      <c r="A96" s="96" t="s">
        <v>176</v>
      </c>
      <c r="D96" s="61"/>
      <c r="E96" s="61"/>
      <c r="F96" s="61"/>
      <c r="G96" s="61"/>
      <c r="H96" s="61"/>
      <c r="I96"/>
      <c r="J96"/>
      <c r="K96"/>
      <c r="L96"/>
      <c r="M96"/>
    </row>
    <row r="97" spans="1:13" ht="14.4" x14ac:dyDescent="0.25">
      <c r="A97" s="95" t="s">
        <v>38</v>
      </c>
      <c r="B97" s="61">
        <v>1289.98</v>
      </c>
      <c r="C97" s="61">
        <v>439.18099999999998</v>
      </c>
      <c r="D97" s="61">
        <v>538.12900000000002</v>
      </c>
      <c r="E97" s="61"/>
      <c r="F97" s="61">
        <v>743.08</v>
      </c>
      <c r="G97" s="61">
        <v>1396</v>
      </c>
      <c r="H97" s="61">
        <v>4406.37</v>
      </c>
      <c r="I97"/>
      <c r="J97"/>
      <c r="K97"/>
      <c r="L97"/>
      <c r="M97"/>
    </row>
    <row r="98" spans="1:13" ht="14.4" x14ac:dyDescent="0.25">
      <c r="A98" s="96" t="s">
        <v>135</v>
      </c>
      <c r="C98" s="61">
        <v>97.881</v>
      </c>
      <c r="D98" s="61">
        <v>97</v>
      </c>
      <c r="E98" s="61"/>
      <c r="F98" s="61"/>
      <c r="G98" s="61">
        <v>96</v>
      </c>
      <c r="H98" s="61">
        <v>290.88099999999997</v>
      </c>
      <c r="I98"/>
      <c r="J98"/>
      <c r="K98"/>
      <c r="L98"/>
      <c r="M98"/>
    </row>
    <row r="99" spans="1:13" ht="14.4" x14ac:dyDescent="0.25">
      <c r="A99" s="96" t="s">
        <v>90</v>
      </c>
      <c r="C99" s="61">
        <v>56</v>
      </c>
      <c r="D99" s="61">
        <v>303.12900000000002</v>
      </c>
      <c r="E99" s="61"/>
      <c r="F99" s="61"/>
      <c r="G99" s="61"/>
      <c r="H99" s="61">
        <v>359.12900000000002</v>
      </c>
      <c r="I99"/>
      <c r="J99"/>
      <c r="K99"/>
      <c r="L99"/>
      <c r="M99"/>
    </row>
    <row r="100" spans="1:13" ht="14.4" x14ac:dyDescent="0.25">
      <c r="A100" s="96" t="s">
        <v>138</v>
      </c>
      <c r="C100" s="61">
        <v>107</v>
      </c>
      <c r="D100" s="61"/>
      <c r="E100" s="61"/>
      <c r="F100" s="61"/>
      <c r="G100" s="61"/>
      <c r="H100" s="61">
        <v>107</v>
      </c>
      <c r="I100"/>
      <c r="J100"/>
      <c r="K100"/>
      <c r="L100"/>
      <c r="M100"/>
    </row>
    <row r="101" spans="1:13" ht="14.4" x14ac:dyDescent="0.25">
      <c r="A101" s="96" t="s">
        <v>75</v>
      </c>
      <c r="C101" s="61">
        <v>5</v>
      </c>
      <c r="D101" s="61"/>
      <c r="E101" s="61"/>
      <c r="F101" s="61"/>
      <c r="G101" s="61">
        <v>660</v>
      </c>
      <c r="H101" s="61">
        <v>665</v>
      </c>
      <c r="I101"/>
      <c r="J101"/>
      <c r="K101"/>
      <c r="L101"/>
      <c r="M101"/>
    </row>
    <row r="102" spans="1:13" ht="14.4" x14ac:dyDescent="0.25">
      <c r="A102" s="96" t="s">
        <v>162</v>
      </c>
      <c r="B102" s="61">
        <v>1289.98</v>
      </c>
      <c r="D102" s="61"/>
      <c r="E102" s="61"/>
      <c r="F102" s="61"/>
      <c r="G102" s="61"/>
      <c r="H102" s="61">
        <v>1289.98</v>
      </c>
      <c r="I102"/>
      <c r="J102"/>
      <c r="K102"/>
      <c r="L102"/>
      <c r="M102"/>
    </row>
    <row r="103" spans="1:13" ht="14.4" x14ac:dyDescent="0.25">
      <c r="A103" s="96" t="s">
        <v>83</v>
      </c>
      <c r="C103" s="61">
        <v>123.3</v>
      </c>
      <c r="D103" s="61">
        <v>80</v>
      </c>
      <c r="E103" s="61"/>
      <c r="F103" s="61"/>
      <c r="G103" s="61"/>
      <c r="H103" s="61">
        <v>203.3</v>
      </c>
      <c r="I103"/>
      <c r="J103"/>
      <c r="K103"/>
      <c r="L103"/>
      <c r="M103"/>
    </row>
    <row r="104" spans="1:13" ht="14.4" x14ac:dyDescent="0.25">
      <c r="A104" s="96" t="s">
        <v>85</v>
      </c>
      <c r="C104" s="61">
        <v>50</v>
      </c>
      <c r="D104" s="61"/>
      <c r="E104" s="61"/>
      <c r="F104" s="61"/>
      <c r="G104" s="61"/>
      <c r="H104" s="61">
        <v>50</v>
      </c>
      <c r="I104"/>
      <c r="J104"/>
      <c r="K104"/>
      <c r="L104"/>
      <c r="M104"/>
    </row>
    <row r="105" spans="1:13" ht="14.4" x14ac:dyDescent="0.25">
      <c r="A105" s="96" t="s">
        <v>174</v>
      </c>
      <c r="D105" s="61">
        <v>58</v>
      </c>
      <c r="E105" s="61"/>
      <c r="F105" s="61"/>
      <c r="G105" s="61">
        <v>640</v>
      </c>
      <c r="H105" s="61">
        <v>698</v>
      </c>
      <c r="I105"/>
      <c r="J105"/>
      <c r="K105"/>
      <c r="L105"/>
      <c r="M105"/>
    </row>
    <row r="106" spans="1:13" ht="14.4" x14ac:dyDescent="0.25">
      <c r="A106" s="96" t="s">
        <v>2</v>
      </c>
      <c r="D106" s="61"/>
      <c r="E106" s="61"/>
      <c r="F106" s="61">
        <v>743.08</v>
      </c>
      <c r="G106" s="61"/>
      <c r="H106" s="61">
        <v>743.08</v>
      </c>
      <c r="I106"/>
      <c r="J106"/>
      <c r="K106"/>
      <c r="L106"/>
      <c r="M106"/>
    </row>
    <row r="107" spans="1:13" ht="14.4" x14ac:dyDescent="0.25">
      <c r="A107" s="95" t="s">
        <v>287</v>
      </c>
      <c r="D107" s="61"/>
      <c r="E107" s="61"/>
      <c r="F107" s="61"/>
      <c r="G107" s="61"/>
      <c r="H107" s="61"/>
      <c r="I107"/>
      <c r="J107"/>
      <c r="K107"/>
      <c r="L107"/>
      <c r="M107"/>
    </row>
    <row r="108" spans="1:13" ht="14.4" x14ac:dyDescent="0.25">
      <c r="A108" s="95" t="s">
        <v>289</v>
      </c>
      <c r="D108" s="61"/>
      <c r="E108" s="61"/>
      <c r="F108" s="61"/>
      <c r="G108" s="61"/>
      <c r="H108" s="61"/>
      <c r="I108"/>
      <c r="J108"/>
      <c r="K108"/>
      <c r="L108"/>
      <c r="M108"/>
    </row>
    <row r="109" spans="1:13" ht="14.4" x14ac:dyDescent="0.25">
      <c r="A109" s="96" t="s">
        <v>289</v>
      </c>
      <c r="D109" s="61"/>
      <c r="E109" s="61"/>
      <c r="F109" s="61"/>
      <c r="G109" s="61"/>
      <c r="H109" s="61"/>
      <c r="I109"/>
      <c r="J109"/>
      <c r="K109"/>
      <c r="L109"/>
      <c r="M109"/>
    </row>
    <row r="110" spans="1:13" ht="14.4" x14ac:dyDescent="0.25">
      <c r="A110" s="95" t="s">
        <v>42</v>
      </c>
      <c r="D110" s="61"/>
      <c r="E110" s="61"/>
      <c r="F110" s="61"/>
      <c r="G110" s="61"/>
      <c r="H110" s="61"/>
      <c r="I110"/>
      <c r="J110"/>
      <c r="K110"/>
      <c r="L110"/>
      <c r="M110"/>
    </row>
    <row r="111" spans="1:13" ht="14.4" x14ac:dyDescent="0.25">
      <c r="A111" s="96" t="s">
        <v>160</v>
      </c>
      <c r="D111" s="61"/>
      <c r="E111" s="61"/>
      <c r="F111" s="61"/>
      <c r="G111" s="61"/>
      <c r="H111" s="61"/>
      <c r="I111"/>
      <c r="J111"/>
      <c r="K111"/>
      <c r="L111"/>
      <c r="M111"/>
    </row>
    <row r="112" spans="1:13" ht="14.4" x14ac:dyDescent="0.25">
      <c r="A112" s="96" t="s">
        <v>169</v>
      </c>
      <c r="D112" s="61"/>
      <c r="E112" s="61"/>
      <c r="F112" s="61"/>
      <c r="G112" s="61"/>
      <c r="H112" s="61"/>
      <c r="I112"/>
      <c r="J112"/>
      <c r="K112"/>
      <c r="L112"/>
      <c r="M112"/>
    </row>
    <row r="113" spans="1:13" ht="14.4" x14ac:dyDescent="0.25">
      <c r="A113" s="96" t="s">
        <v>175</v>
      </c>
      <c r="D113" s="61"/>
      <c r="E113" s="61"/>
      <c r="F113" s="61"/>
      <c r="G113" s="61"/>
      <c r="H113" s="61"/>
      <c r="I113"/>
      <c r="J113"/>
      <c r="K113"/>
      <c r="L113"/>
      <c r="M113"/>
    </row>
    <row r="114" spans="1:13" ht="14.4" x14ac:dyDescent="0.25">
      <c r="A114" s="96" t="s">
        <v>177</v>
      </c>
      <c r="D114" s="61"/>
      <c r="E114" s="61"/>
      <c r="F114" s="61"/>
      <c r="G114" s="61"/>
      <c r="H114" s="61"/>
      <c r="I114"/>
      <c r="J114"/>
      <c r="K114"/>
      <c r="L114"/>
      <c r="M114"/>
    </row>
    <row r="115" spans="1:13" ht="14.4" x14ac:dyDescent="0.25">
      <c r="A115" s="96" t="s">
        <v>176</v>
      </c>
      <c r="D115" s="61"/>
      <c r="E115" s="61"/>
      <c r="F115" s="61"/>
      <c r="G115" s="61"/>
      <c r="H115" s="61"/>
      <c r="I115"/>
      <c r="J115"/>
      <c r="K115"/>
      <c r="L115"/>
      <c r="M115"/>
    </row>
    <row r="116" spans="1:13" ht="14.4" x14ac:dyDescent="0.25">
      <c r="A116" s="95" t="s">
        <v>123</v>
      </c>
      <c r="D116" s="61"/>
      <c r="E116" s="61"/>
      <c r="F116" s="61"/>
      <c r="G116" s="61"/>
      <c r="H116" s="61"/>
      <c r="I116"/>
      <c r="J116"/>
      <c r="K116"/>
      <c r="L116"/>
      <c r="M116"/>
    </row>
    <row r="117" spans="1:13" ht="14.4" x14ac:dyDescent="0.25">
      <c r="A117" s="96" t="s">
        <v>169</v>
      </c>
      <c r="D117" s="61"/>
      <c r="E117" s="61"/>
      <c r="F117" s="61"/>
      <c r="G117" s="61"/>
      <c r="H117" s="61"/>
      <c r="I117"/>
      <c r="J117"/>
      <c r="K117"/>
      <c r="L117"/>
      <c r="M117"/>
    </row>
    <row r="118" spans="1:13" ht="14.4" x14ac:dyDescent="0.25">
      <c r="A118" s="96" t="s">
        <v>170</v>
      </c>
      <c r="D118" s="61"/>
      <c r="E118" s="61"/>
      <c r="F118" s="61"/>
      <c r="G118" s="61"/>
      <c r="H118" s="61"/>
      <c r="I118"/>
      <c r="J118"/>
      <c r="K118"/>
      <c r="L118"/>
      <c r="M118"/>
    </row>
    <row r="119" spans="1:13" ht="14.4" x14ac:dyDescent="0.25">
      <c r="A119" s="96" t="s">
        <v>175</v>
      </c>
      <c r="D119" s="61"/>
      <c r="E119" s="61"/>
      <c r="F119" s="61"/>
      <c r="G119" s="61"/>
      <c r="H119" s="61"/>
      <c r="I119"/>
      <c r="J119"/>
      <c r="K119"/>
      <c r="L119"/>
      <c r="M119"/>
    </row>
    <row r="120" spans="1:13" ht="14.4" x14ac:dyDescent="0.25">
      <c r="A120" s="96" t="s">
        <v>172</v>
      </c>
      <c r="D120" s="61"/>
      <c r="E120" s="61"/>
      <c r="F120" s="61"/>
      <c r="G120" s="61"/>
      <c r="H120" s="61"/>
      <c r="I120"/>
      <c r="J120"/>
      <c r="K120"/>
      <c r="L120"/>
      <c r="M120"/>
    </row>
    <row r="121" spans="1:13" ht="14.4" x14ac:dyDescent="0.25">
      <c r="A121" s="96" t="s">
        <v>177</v>
      </c>
      <c r="D121" s="61"/>
      <c r="E121" s="61"/>
      <c r="F121" s="61"/>
      <c r="G121" s="61"/>
      <c r="H121" s="61"/>
      <c r="I121"/>
      <c r="J121"/>
      <c r="K121"/>
      <c r="L121"/>
      <c r="M121"/>
    </row>
    <row r="122" spans="1:13" ht="14.4" x14ac:dyDescent="0.25">
      <c r="A122" s="96" t="s">
        <v>81</v>
      </c>
      <c r="D122" s="61"/>
      <c r="E122" s="61"/>
      <c r="F122" s="61"/>
      <c r="G122" s="61"/>
      <c r="H122" s="61"/>
      <c r="I122"/>
      <c r="J122"/>
      <c r="K122"/>
      <c r="L122"/>
      <c r="M122"/>
    </row>
    <row r="123" spans="1:13" ht="14.4" x14ac:dyDescent="0.25">
      <c r="A123" s="96" t="s">
        <v>176</v>
      </c>
      <c r="D123" s="61"/>
      <c r="E123" s="61"/>
      <c r="F123" s="61"/>
      <c r="G123" s="61"/>
      <c r="H123" s="61"/>
      <c r="I123"/>
      <c r="J123"/>
      <c r="K123"/>
      <c r="L123"/>
      <c r="M123"/>
    </row>
    <row r="124" spans="1:13" ht="14.4" x14ac:dyDescent="0.25">
      <c r="A124" s="96" t="s">
        <v>86</v>
      </c>
      <c r="D124" s="61"/>
      <c r="E124" s="61"/>
      <c r="F124" s="61"/>
      <c r="G124" s="61"/>
      <c r="H124" s="61"/>
      <c r="I124"/>
      <c r="J124"/>
      <c r="K124"/>
      <c r="L124"/>
      <c r="M124"/>
    </row>
    <row r="125" spans="1:13" ht="14.4" x14ac:dyDescent="0.25">
      <c r="A125" s="96" t="s">
        <v>80</v>
      </c>
      <c r="D125" s="61"/>
      <c r="E125" s="61"/>
      <c r="F125" s="61"/>
      <c r="G125" s="61"/>
      <c r="H125" s="61"/>
      <c r="I125"/>
      <c r="J125"/>
      <c r="K125"/>
      <c r="L125"/>
      <c r="M125"/>
    </row>
    <row r="126" spans="1:13" ht="14.4" x14ac:dyDescent="0.25">
      <c r="A126" s="95" t="s">
        <v>45</v>
      </c>
      <c r="D126" s="61"/>
      <c r="E126" s="61"/>
      <c r="F126" s="61"/>
      <c r="G126" s="61"/>
      <c r="H126" s="61"/>
      <c r="I126"/>
      <c r="J126"/>
      <c r="K126"/>
      <c r="L126"/>
      <c r="M126"/>
    </row>
    <row r="127" spans="1:13" ht="14.4" x14ac:dyDescent="0.25">
      <c r="A127" s="96" t="s">
        <v>169</v>
      </c>
      <c r="D127" s="61"/>
      <c r="E127" s="61"/>
      <c r="F127" s="61"/>
      <c r="G127" s="61"/>
      <c r="H127" s="61"/>
      <c r="I127"/>
      <c r="J127"/>
      <c r="K127"/>
      <c r="L127"/>
      <c r="M127"/>
    </row>
    <row r="128" spans="1:13" ht="14.4" x14ac:dyDescent="0.25">
      <c r="A128" s="96" t="s">
        <v>175</v>
      </c>
      <c r="D128" s="61"/>
      <c r="E128" s="61"/>
      <c r="F128" s="61"/>
      <c r="G128" s="61"/>
      <c r="H128" s="61"/>
      <c r="I128"/>
      <c r="J128"/>
      <c r="K128"/>
      <c r="L128"/>
      <c r="M128"/>
    </row>
    <row r="129" spans="1:13" ht="14.4" x14ac:dyDescent="0.25">
      <c r="A129" s="96" t="s">
        <v>176</v>
      </c>
      <c r="D129" s="61"/>
      <c r="E129" s="61"/>
      <c r="F129" s="61"/>
      <c r="G129" s="61"/>
      <c r="H129" s="61"/>
      <c r="I129"/>
      <c r="J129"/>
      <c r="K129"/>
      <c r="L129"/>
      <c r="M129"/>
    </row>
    <row r="130" spans="1:13" ht="14.4" x14ac:dyDescent="0.25">
      <c r="A130" s="95" t="s">
        <v>44</v>
      </c>
      <c r="D130" s="61"/>
      <c r="E130" s="61"/>
      <c r="F130" s="61"/>
      <c r="G130" s="61"/>
      <c r="H130" s="61"/>
      <c r="I130"/>
      <c r="J130"/>
      <c r="K130"/>
      <c r="L130"/>
      <c r="M130"/>
    </row>
    <row r="131" spans="1:13" ht="14.4" x14ac:dyDescent="0.25">
      <c r="A131" s="96" t="s">
        <v>169</v>
      </c>
      <c r="D131" s="61"/>
      <c r="E131" s="61"/>
      <c r="F131" s="61"/>
      <c r="G131" s="61"/>
      <c r="H131" s="61"/>
      <c r="I131"/>
      <c r="J131"/>
      <c r="K131"/>
      <c r="L131"/>
      <c r="M131"/>
    </row>
    <row r="132" spans="1:13" ht="14.4" x14ac:dyDescent="0.25">
      <c r="A132" s="96" t="s">
        <v>177</v>
      </c>
      <c r="D132" s="61"/>
      <c r="E132" s="61"/>
      <c r="F132" s="61"/>
      <c r="G132" s="61"/>
      <c r="H132" s="61"/>
      <c r="I132"/>
      <c r="J132"/>
      <c r="K132"/>
      <c r="L132"/>
      <c r="M132"/>
    </row>
    <row r="133" spans="1:13" ht="14.4" x14ac:dyDescent="0.25">
      <c r="A133" s="96" t="s">
        <v>176</v>
      </c>
      <c r="D133" s="61"/>
      <c r="E133" s="61"/>
      <c r="F133" s="61"/>
      <c r="G133" s="61"/>
      <c r="H133" s="61"/>
      <c r="I133"/>
      <c r="J133"/>
      <c r="K133"/>
      <c r="L133"/>
      <c r="M133"/>
    </row>
    <row r="134" spans="1:13" ht="14.4" x14ac:dyDescent="0.25">
      <c r="A134" s="95" t="s">
        <v>37</v>
      </c>
      <c r="B134" s="61">
        <v>869.77</v>
      </c>
      <c r="C134" s="61">
        <v>60</v>
      </c>
      <c r="D134" s="61">
        <v>100</v>
      </c>
      <c r="E134" s="61"/>
      <c r="F134" s="61"/>
      <c r="G134" s="61"/>
      <c r="H134" s="61">
        <v>1029.77</v>
      </c>
      <c r="I134"/>
      <c r="J134"/>
      <c r="K134"/>
      <c r="L134"/>
      <c r="M134"/>
    </row>
    <row r="135" spans="1:13" ht="14.4" x14ac:dyDescent="0.25">
      <c r="A135" s="96" t="s">
        <v>33</v>
      </c>
      <c r="B135" s="61">
        <v>679.77</v>
      </c>
      <c r="D135" s="61"/>
      <c r="E135" s="61"/>
      <c r="F135" s="61"/>
      <c r="G135" s="61"/>
      <c r="H135" s="61">
        <v>679.77</v>
      </c>
      <c r="I135"/>
      <c r="J135"/>
      <c r="K135"/>
      <c r="L135"/>
      <c r="M135"/>
    </row>
    <row r="136" spans="1:13" ht="14.4" x14ac:dyDescent="0.25">
      <c r="A136" s="96" t="s">
        <v>134</v>
      </c>
      <c r="C136" s="61">
        <v>60</v>
      </c>
      <c r="D136" s="61"/>
      <c r="E136" s="61"/>
      <c r="F136" s="61"/>
      <c r="G136" s="61"/>
      <c r="H136" s="61">
        <v>60</v>
      </c>
      <c r="I136"/>
      <c r="J136"/>
      <c r="K136"/>
      <c r="L136"/>
      <c r="M136"/>
    </row>
    <row r="137" spans="1:13" ht="14.4" x14ac:dyDescent="0.25">
      <c r="A137" s="96" t="s">
        <v>46</v>
      </c>
      <c r="B137" s="61">
        <v>190</v>
      </c>
      <c r="D137" s="61"/>
      <c r="E137" s="61"/>
      <c r="F137" s="61"/>
      <c r="G137" s="61"/>
      <c r="H137" s="61">
        <v>190</v>
      </c>
      <c r="I137"/>
      <c r="J137"/>
      <c r="K137"/>
      <c r="L137"/>
      <c r="M137"/>
    </row>
    <row r="138" spans="1:13" ht="14.4" x14ac:dyDescent="0.25">
      <c r="A138" s="96" t="s">
        <v>35</v>
      </c>
      <c r="D138" s="61">
        <v>100</v>
      </c>
      <c r="E138" s="61"/>
      <c r="F138" s="61"/>
      <c r="G138" s="61"/>
      <c r="H138" s="61">
        <v>100</v>
      </c>
      <c r="I138"/>
      <c r="J138"/>
      <c r="K138"/>
      <c r="L138"/>
      <c r="M138"/>
    </row>
    <row r="139" spans="1:13" ht="14.4" x14ac:dyDescent="0.25">
      <c r="A139" s="95" t="s">
        <v>62</v>
      </c>
      <c r="C139" s="61">
        <v>2000</v>
      </c>
      <c r="D139" s="61"/>
      <c r="E139" s="61"/>
      <c r="F139" s="61">
        <v>1015</v>
      </c>
      <c r="G139" s="61"/>
      <c r="H139" s="61">
        <v>3015</v>
      </c>
      <c r="I139"/>
      <c r="J139"/>
      <c r="K139"/>
      <c r="L139"/>
      <c r="M139"/>
    </row>
    <row r="140" spans="1:13" ht="14.4" x14ac:dyDescent="0.25">
      <c r="A140" s="96" t="s">
        <v>64</v>
      </c>
      <c r="D140" s="61"/>
      <c r="E140" s="61"/>
      <c r="F140" s="61"/>
      <c r="G140" s="61"/>
      <c r="H140" s="61"/>
      <c r="I140"/>
      <c r="J140"/>
      <c r="K140"/>
      <c r="L140"/>
      <c r="M140"/>
    </row>
    <row r="141" spans="1:13" ht="14.4" x14ac:dyDescent="0.25">
      <c r="A141" s="96" t="s">
        <v>140</v>
      </c>
      <c r="C141" s="61">
        <v>2000</v>
      </c>
      <c r="D141" s="61"/>
      <c r="E141" s="61"/>
      <c r="F141" s="61"/>
      <c r="G141" s="61"/>
      <c r="H141" s="61">
        <v>2000</v>
      </c>
      <c r="I141"/>
      <c r="J141"/>
      <c r="K141"/>
      <c r="L141"/>
      <c r="M141"/>
    </row>
    <row r="142" spans="1:13" ht="14.4" x14ac:dyDescent="0.25">
      <c r="A142" s="96" t="s">
        <v>144</v>
      </c>
      <c r="D142" s="61"/>
      <c r="E142" s="61"/>
      <c r="F142" s="61">
        <v>1015</v>
      </c>
      <c r="G142" s="61"/>
      <c r="H142" s="61">
        <v>1015</v>
      </c>
      <c r="I142"/>
      <c r="J142"/>
      <c r="K142"/>
      <c r="L142"/>
      <c r="M142"/>
    </row>
    <row r="143" spans="1:13" ht="14.4" x14ac:dyDescent="0.25">
      <c r="A143" s="95" t="s">
        <v>66</v>
      </c>
      <c r="C143" s="61">
        <v>50.9</v>
      </c>
      <c r="D143" s="61"/>
      <c r="E143" s="61"/>
      <c r="F143" s="61">
        <v>3500</v>
      </c>
      <c r="G143" s="61"/>
      <c r="H143" s="61">
        <v>3550.9</v>
      </c>
      <c r="I143"/>
      <c r="J143"/>
      <c r="K143"/>
      <c r="L143"/>
      <c r="M143"/>
    </row>
    <row r="144" spans="1:13" ht="14.4" x14ac:dyDescent="0.25">
      <c r="A144" s="96" t="s">
        <v>171</v>
      </c>
      <c r="C144" s="61">
        <v>50.9</v>
      </c>
      <c r="D144" s="61"/>
      <c r="E144" s="61"/>
      <c r="F144" s="61"/>
      <c r="G144" s="61"/>
      <c r="H144" s="61">
        <v>50.9</v>
      </c>
      <c r="I144"/>
      <c r="J144"/>
      <c r="K144"/>
      <c r="L144"/>
      <c r="M144"/>
    </row>
    <row r="145" spans="1:13" ht="14.4" x14ac:dyDescent="0.25">
      <c r="A145" s="96" t="s">
        <v>150</v>
      </c>
      <c r="D145" s="61"/>
      <c r="E145" s="61"/>
      <c r="F145" s="61">
        <v>3500</v>
      </c>
      <c r="G145" s="61"/>
      <c r="H145" s="61">
        <v>3500</v>
      </c>
      <c r="I145"/>
      <c r="J145"/>
      <c r="K145"/>
      <c r="L145"/>
      <c r="M145"/>
    </row>
    <row r="146" spans="1:13" ht="14.4" x14ac:dyDescent="0.25">
      <c r="A146" s="95" t="s">
        <v>43</v>
      </c>
      <c r="B146" s="61">
        <v>2150</v>
      </c>
      <c r="D146" s="61">
        <v>500</v>
      </c>
      <c r="E146" s="61"/>
      <c r="F146" s="61"/>
      <c r="G146" s="61">
        <v>300</v>
      </c>
      <c r="H146" s="61">
        <v>2950</v>
      </c>
      <c r="I146"/>
      <c r="J146"/>
      <c r="K146"/>
      <c r="L146"/>
      <c r="M146"/>
    </row>
    <row r="147" spans="1:13" ht="14.4" x14ac:dyDescent="0.25">
      <c r="A147" s="96" t="s">
        <v>132</v>
      </c>
      <c r="B147" s="61">
        <v>300</v>
      </c>
      <c r="D147" s="61"/>
      <c r="E147" s="61"/>
      <c r="F147" s="61"/>
      <c r="G147" s="61"/>
      <c r="H147" s="61">
        <v>300</v>
      </c>
      <c r="I147"/>
      <c r="J147"/>
      <c r="K147"/>
      <c r="L147"/>
      <c r="M147"/>
    </row>
    <row r="148" spans="1:13" ht="14.4" x14ac:dyDescent="0.25">
      <c r="A148" s="96" t="s">
        <v>129</v>
      </c>
      <c r="B148" s="61">
        <v>1850</v>
      </c>
      <c r="D148" s="61"/>
      <c r="E148" s="61"/>
      <c r="F148" s="61"/>
      <c r="G148" s="61"/>
      <c r="H148" s="61">
        <v>1850</v>
      </c>
      <c r="I148"/>
      <c r="J148"/>
      <c r="K148"/>
      <c r="L148"/>
      <c r="M148"/>
    </row>
    <row r="149" spans="1:13" ht="14.4" x14ac:dyDescent="0.25">
      <c r="A149" s="96" t="s">
        <v>139</v>
      </c>
      <c r="D149" s="61">
        <v>500</v>
      </c>
      <c r="E149" s="61"/>
      <c r="F149" s="61"/>
      <c r="G149" s="61"/>
      <c r="H149" s="61">
        <v>500</v>
      </c>
      <c r="I149"/>
      <c r="J149"/>
      <c r="K149"/>
      <c r="L149"/>
      <c r="M149"/>
    </row>
    <row r="150" spans="1:13" ht="14.4" x14ac:dyDescent="0.25">
      <c r="A150" s="96" t="s">
        <v>148</v>
      </c>
      <c r="D150" s="61"/>
      <c r="E150" s="61"/>
      <c r="F150" s="61"/>
      <c r="G150" s="61">
        <v>300</v>
      </c>
      <c r="H150" s="61">
        <v>300</v>
      </c>
      <c r="I150"/>
      <c r="J150"/>
      <c r="K150"/>
      <c r="L150"/>
      <c r="M150"/>
    </row>
    <row r="151" spans="1:13" ht="14.4" x14ac:dyDescent="0.25">
      <c r="A151" s="95" t="s">
        <v>124</v>
      </c>
      <c r="C151" s="61">
        <v>1000</v>
      </c>
      <c r="D151" s="61">
        <v>2800</v>
      </c>
      <c r="E151" s="61"/>
      <c r="F151" s="61"/>
      <c r="G151" s="61"/>
      <c r="H151" s="61">
        <v>3800</v>
      </c>
      <c r="I151"/>
      <c r="J151"/>
      <c r="K151"/>
      <c r="L151"/>
      <c r="M151"/>
    </row>
    <row r="152" spans="1:13" ht="14.4" x14ac:dyDescent="0.25">
      <c r="A152" s="96" t="s">
        <v>77</v>
      </c>
      <c r="C152" s="61">
        <v>1000</v>
      </c>
      <c r="D152" s="61"/>
      <c r="E152" s="61"/>
      <c r="F152" s="61"/>
      <c r="G152" s="61"/>
      <c r="H152" s="61">
        <v>1000</v>
      </c>
      <c r="I152"/>
      <c r="J152"/>
      <c r="K152"/>
      <c r="L152"/>
      <c r="M152"/>
    </row>
    <row r="153" spans="1:13" ht="14.4" x14ac:dyDescent="0.25">
      <c r="A153" s="96" t="s">
        <v>124</v>
      </c>
      <c r="D153" s="61">
        <v>2800</v>
      </c>
      <c r="E153" s="61"/>
      <c r="F153" s="61"/>
      <c r="G153" s="61"/>
      <c r="H153" s="61">
        <v>2800</v>
      </c>
      <c r="I153"/>
      <c r="J153"/>
      <c r="K153"/>
      <c r="L153"/>
      <c r="M153"/>
    </row>
    <row r="154" spans="1:13" ht="14.4" x14ac:dyDescent="0.25">
      <c r="A154" s="95" t="s">
        <v>61</v>
      </c>
      <c r="D154" s="61">
        <v>70</v>
      </c>
      <c r="E154" s="61"/>
      <c r="F154" s="61"/>
      <c r="G154" s="61"/>
      <c r="H154" s="61">
        <v>70</v>
      </c>
      <c r="I154"/>
      <c r="J154"/>
      <c r="K154"/>
      <c r="L154"/>
      <c r="M154"/>
    </row>
    <row r="155" spans="1:13" ht="14.4" x14ac:dyDescent="0.25">
      <c r="A155" s="96" t="s">
        <v>143</v>
      </c>
      <c r="D155" s="61"/>
      <c r="E155" s="61"/>
      <c r="F155" s="61"/>
      <c r="G155" s="61"/>
      <c r="H155" s="61"/>
      <c r="I155"/>
      <c r="J155"/>
      <c r="K155"/>
      <c r="L155"/>
      <c r="M155"/>
    </row>
    <row r="156" spans="1:13" ht="14.4" x14ac:dyDescent="0.25">
      <c r="A156" s="96" t="s">
        <v>145</v>
      </c>
      <c r="D156" s="61">
        <v>70</v>
      </c>
      <c r="E156" s="61"/>
      <c r="F156" s="61"/>
      <c r="G156" s="61"/>
      <c r="H156" s="61">
        <v>70</v>
      </c>
      <c r="I156"/>
      <c r="J156"/>
      <c r="K156"/>
      <c r="L156"/>
      <c r="M156"/>
    </row>
    <row r="157" spans="1:13" ht="14.4" x14ac:dyDescent="0.25">
      <c r="A157" s="95" t="s">
        <v>65</v>
      </c>
      <c r="C157" s="61">
        <v>4488</v>
      </c>
      <c r="D157" s="61"/>
      <c r="E157" s="61"/>
      <c r="F157" s="61"/>
      <c r="G157" s="61"/>
      <c r="H157" s="61">
        <v>4488</v>
      </c>
      <c r="I157"/>
      <c r="J157"/>
      <c r="K157"/>
      <c r="L157"/>
      <c r="M157"/>
    </row>
    <row r="158" spans="1:13" ht="14.4" x14ac:dyDescent="0.25">
      <c r="A158" s="96" t="s">
        <v>91</v>
      </c>
      <c r="C158" s="61">
        <v>4488</v>
      </c>
      <c r="D158" s="61"/>
      <c r="E158" s="61"/>
      <c r="F158" s="61"/>
      <c r="G158" s="61"/>
      <c r="H158" s="61">
        <v>4488</v>
      </c>
      <c r="I158"/>
      <c r="J158"/>
      <c r="K158"/>
      <c r="L158"/>
      <c r="M158"/>
    </row>
    <row r="159" spans="1:13" ht="14.4" x14ac:dyDescent="0.25">
      <c r="A159" s="95" t="s">
        <v>56</v>
      </c>
      <c r="D159" s="61">
        <v>250</v>
      </c>
      <c r="E159" s="61"/>
      <c r="F159" s="61"/>
      <c r="G159" s="61">
        <v>250</v>
      </c>
      <c r="H159" s="61">
        <v>500</v>
      </c>
      <c r="I159"/>
      <c r="J159"/>
      <c r="K159"/>
      <c r="L159"/>
      <c r="M159"/>
    </row>
    <row r="160" spans="1:13" ht="14.4" x14ac:dyDescent="0.25">
      <c r="A160" s="96" t="s">
        <v>141</v>
      </c>
      <c r="D160" s="61">
        <v>200</v>
      </c>
      <c r="E160" s="61"/>
      <c r="F160" s="61"/>
      <c r="G160" s="61">
        <v>200</v>
      </c>
      <c r="H160" s="61">
        <v>400</v>
      </c>
      <c r="I160"/>
      <c r="J160"/>
      <c r="K160"/>
      <c r="L160"/>
      <c r="M160"/>
    </row>
    <row r="161" spans="1:13" ht="14.4" x14ac:dyDescent="0.25">
      <c r="A161" s="96" t="s">
        <v>142</v>
      </c>
      <c r="D161" s="61">
        <v>50</v>
      </c>
      <c r="E161" s="61"/>
      <c r="F161" s="61"/>
      <c r="G161" s="61">
        <v>50</v>
      </c>
      <c r="H161" s="61">
        <v>100</v>
      </c>
      <c r="I161"/>
      <c r="J161"/>
      <c r="K161"/>
      <c r="L161"/>
      <c r="M161"/>
    </row>
    <row r="162" spans="1:13" ht="14.4" x14ac:dyDescent="0.25">
      <c r="A162" s="95" t="s">
        <v>31</v>
      </c>
      <c r="D162" s="61">
        <v>3577.5800000000004</v>
      </c>
      <c r="E162" s="61"/>
      <c r="F162" s="61">
        <v>136.94999999999999</v>
      </c>
      <c r="G162" s="61">
        <v>9.9</v>
      </c>
      <c r="H162" s="61">
        <v>3724.4300000000003</v>
      </c>
      <c r="I162"/>
      <c r="J162"/>
      <c r="K162"/>
      <c r="L162"/>
      <c r="M162"/>
    </row>
    <row r="163" spans="1:13" ht="14.4" x14ac:dyDescent="0.25">
      <c r="A163" s="96" t="s">
        <v>94</v>
      </c>
      <c r="D163" s="61">
        <v>106.4</v>
      </c>
      <c r="E163" s="61"/>
      <c r="F163" s="61"/>
      <c r="G163" s="61"/>
      <c r="H163" s="61">
        <v>106.4</v>
      </c>
      <c r="I163"/>
      <c r="J163"/>
      <c r="K163"/>
      <c r="L163"/>
      <c r="M163"/>
    </row>
    <row r="164" spans="1:13" ht="14.4" x14ac:dyDescent="0.25">
      <c r="A164" s="96" t="s">
        <v>89</v>
      </c>
      <c r="D164" s="61">
        <v>3421.82</v>
      </c>
      <c r="E164" s="61"/>
      <c r="F164" s="61"/>
      <c r="G164" s="61"/>
      <c r="H164" s="61">
        <v>3421.82</v>
      </c>
      <c r="I164"/>
      <c r="J164"/>
      <c r="K164"/>
      <c r="L164"/>
      <c r="M164"/>
    </row>
    <row r="165" spans="1:13" ht="14.4" x14ac:dyDescent="0.25">
      <c r="A165" s="96" t="s">
        <v>93</v>
      </c>
      <c r="D165" s="61">
        <v>8.8000000000000007</v>
      </c>
      <c r="E165" s="61"/>
      <c r="F165" s="61"/>
      <c r="G165" s="61"/>
      <c r="H165" s="61">
        <v>8.8000000000000007</v>
      </c>
      <c r="I165"/>
      <c r="J165"/>
      <c r="K165"/>
      <c r="L165"/>
      <c r="M165"/>
    </row>
    <row r="166" spans="1:13" ht="14.4" x14ac:dyDescent="0.25">
      <c r="A166" s="96" t="s">
        <v>98</v>
      </c>
      <c r="D166" s="61">
        <v>23.82</v>
      </c>
      <c r="E166" s="61"/>
      <c r="F166" s="61"/>
      <c r="G166" s="61"/>
      <c r="H166" s="61">
        <v>23.82</v>
      </c>
      <c r="I166"/>
      <c r="J166"/>
      <c r="K166"/>
      <c r="L166"/>
      <c r="M166"/>
    </row>
    <row r="167" spans="1:13" ht="14.4" x14ac:dyDescent="0.25">
      <c r="A167" s="96" t="s">
        <v>147</v>
      </c>
      <c r="D167" s="61">
        <v>16.739999999999998</v>
      </c>
      <c r="E167" s="61"/>
      <c r="F167" s="61"/>
      <c r="G167" s="61"/>
      <c r="H167" s="61">
        <v>16.739999999999998</v>
      </c>
      <c r="I167"/>
      <c r="J167"/>
      <c r="K167"/>
      <c r="L167"/>
      <c r="M167"/>
    </row>
    <row r="168" spans="1:13" ht="14.4" x14ac:dyDescent="0.25">
      <c r="A168" s="96" t="s">
        <v>96</v>
      </c>
      <c r="D168" s="61"/>
      <c r="E168" s="61"/>
      <c r="F168" s="61">
        <v>136.94999999999999</v>
      </c>
      <c r="G168" s="61"/>
      <c r="H168" s="61">
        <v>136.94999999999999</v>
      </c>
      <c r="I168"/>
      <c r="J168"/>
      <c r="K168"/>
      <c r="L168"/>
      <c r="M168"/>
    </row>
    <row r="169" spans="1:13" ht="14.4" x14ac:dyDescent="0.25">
      <c r="A169" s="96" t="s">
        <v>149</v>
      </c>
      <c r="D169" s="61"/>
      <c r="E169" s="61"/>
      <c r="F169" s="61"/>
      <c r="G169" s="61">
        <v>9.9</v>
      </c>
      <c r="H169" s="61">
        <v>9.9</v>
      </c>
      <c r="I169"/>
      <c r="J169"/>
      <c r="K169"/>
      <c r="L169"/>
      <c r="M169"/>
    </row>
    <row r="170" spans="1:13" ht="14.4" x14ac:dyDescent="0.25">
      <c r="A170" s="95" t="s">
        <v>29</v>
      </c>
      <c r="D170" s="61">
        <v>6720</v>
      </c>
      <c r="E170" s="61"/>
      <c r="F170" s="61"/>
      <c r="G170" s="61"/>
      <c r="H170" s="61">
        <v>6720</v>
      </c>
      <c r="I170"/>
      <c r="J170"/>
      <c r="K170"/>
      <c r="L170"/>
      <c r="M170"/>
    </row>
    <row r="171" spans="1:13" ht="14.4" x14ac:dyDescent="0.25">
      <c r="A171" s="96" t="s">
        <v>29</v>
      </c>
      <c r="D171" s="61">
        <v>6000</v>
      </c>
      <c r="E171" s="61"/>
      <c r="F171" s="61"/>
      <c r="G171" s="61"/>
      <c r="H171" s="61">
        <v>6000</v>
      </c>
      <c r="I171"/>
      <c r="J171"/>
      <c r="K171"/>
      <c r="L171"/>
      <c r="M171"/>
    </row>
    <row r="172" spans="1:13" ht="14.4" x14ac:dyDescent="0.25">
      <c r="A172" s="96" t="s">
        <v>88</v>
      </c>
      <c r="D172" s="61">
        <v>720</v>
      </c>
      <c r="E172" s="61"/>
      <c r="F172" s="61"/>
      <c r="G172" s="61"/>
      <c r="H172" s="61">
        <v>720</v>
      </c>
      <c r="I172"/>
      <c r="J172"/>
      <c r="K172"/>
      <c r="L172"/>
      <c r="M172"/>
    </row>
    <row r="173" spans="1:13" ht="14.4" x14ac:dyDescent="0.25">
      <c r="A173" s="95" t="s">
        <v>57</v>
      </c>
      <c r="D173" s="61">
        <v>2880</v>
      </c>
      <c r="E173" s="61"/>
      <c r="F173" s="61"/>
      <c r="G173" s="61"/>
      <c r="H173" s="61">
        <v>2880</v>
      </c>
      <c r="I173"/>
      <c r="J173"/>
      <c r="K173"/>
      <c r="L173"/>
      <c r="M173"/>
    </row>
    <row r="174" spans="1:13" ht="14.4" x14ac:dyDescent="0.25">
      <c r="A174" s="96" t="s">
        <v>57</v>
      </c>
      <c r="D174" s="61">
        <v>2880</v>
      </c>
      <c r="E174" s="61"/>
      <c r="F174" s="61"/>
      <c r="G174" s="61"/>
      <c r="H174" s="61">
        <v>2880</v>
      </c>
      <c r="I174"/>
      <c r="J174"/>
      <c r="K174"/>
      <c r="L174"/>
      <c r="M174"/>
    </row>
    <row r="175" spans="1:13" ht="14.4" x14ac:dyDescent="0.25">
      <c r="A175" s="95" t="s">
        <v>276</v>
      </c>
      <c r="B175" s="61">
        <v>17210.576999999997</v>
      </c>
      <c r="C175" s="61">
        <v>11736.731</v>
      </c>
      <c r="D175" s="61">
        <v>22239.909</v>
      </c>
      <c r="E175" s="61"/>
      <c r="F175" s="61">
        <v>5395.03</v>
      </c>
      <c r="G175" s="61">
        <v>6071.5499999999993</v>
      </c>
      <c r="H175" s="61">
        <v>62653.797000000006</v>
      </c>
      <c r="I175"/>
      <c r="J175"/>
      <c r="K175"/>
      <c r="L175"/>
      <c r="M175"/>
    </row>
    <row r="176" spans="1:13" ht="14.4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ht="14.4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ht="14.4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ht="14.4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ht="14.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ht="14.4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ht="14.4" x14ac:dyDescent="0.25">
      <c r="A182"/>
      <c r="B182"/>
      <c r="C182"/>
      <c r="D182"/>
      <c r="E182"/>
      <c r="F182"/>
      <c r="G182"/>
      <c r="H182"/>
    </row>
    <row r="183" spans="1:13" ht="14.4" x14ac:dyDescent="0.25">
      <c r="A183"/>
      <c r="B183"/>
      <c r="C183"/>
      <c r="D183"/>
      <c r="E183"/>
      <c r="F183"/>
      <c r="G183"/>
      <c r="H183"/>
    </row>
    <row r="184" spans="1:13" ht="14.4" x14ac:dyDescent="0.25">
      <c r="A184"/>
      <c r="B184"/>
      <c r="C184"/>
      <c r="D184"/>
      <c r="E184"/>
      <c r="F184"/>
      <c r="G184"/>
      <c r="H184"/>
    </row>
    <row r="185" spans="1:13" ht="14.4" x14ac:dyDescent="0.25">
      <c r="A185"/>
      <c r="B185"/>
      <c r="C185"/>
      <c r="D185"/>
      <c r="E185"/>
      <c r="F185"/>
      <c r="G185"/>
      <c r="H185"/>
    </row>
    <row r="186" spans="1:13" ht="14.4" x14ac:dyDescent="0.25">
      <c r="A186"/>
      <c r="B186"/>
      <c r="C186"/>
      <c r="D186"/>
      <c r="E186"/>
      <c r="F186"/>
      <c r="G186"/>
      <c r="H186"/>
    </row>
    <row r="187" spans="1:13" ht="14.4" x14ac:dyDescent="0.25">
      <c r="A187"/>
      <c r="B187"/>
      <c r="C187"/>
      <c r="D187"/>
      <c r="E187"/>
      <c r="F187"/>
      <c r="G187"/>
      <c r="H187"/>
    </row>
    <row r="188" spans="1:13" ht="14.4" x14ac:dyDescent="0.25">
      <c r="A188"/>
      <c r="B188"/>
      <c r="C188"/>
      <c r="D188"/>
      <c r="E188"/>
      <c r="F188"/>
      <c r="G188"/>
      <c r="H188"/>
    </row>
    <row r="189" spans="1:13" ht="14.4" x14ac:dyDescent="0.25">
      <c r="A189"/>
      <c r="B189"/>
      <c r="C189"/>
      <c r="D189"/>
      <c r="E189"/>
      <c r="F189"/>
      <c r="G189"/>
      <c r="H189"/>
    </row>
    <row r="190" spans="1:13" ht="14.4" x14ac:dyDescent="0.25">
      <c r="A190"/>
      <c r="B190"/>
      <c r="C190"/>
      <c r="D190"/>
      <c r="E190"/>
      <c r="F190"/>
      <c r="G190"/>
      <c r="H190"/>
    </row>
    <row r="191" spans="1:13" ht="14.4" x14ac:dyDescent="0.25">
      <c r="A191"/>
      <c r="B191"/>
      <c r="C191"/>
      <c r="D191"/>
      <c r="E191"/>
      <c r="F191"/>
      <c r="G191"/>
      <c r="H191"/>
    </row>
    <row r="192" spans="1:13" ht="14.4" x14ac:dyDescent="0.25">
      <c r="A192"/>
      <c r="B192"/>
      <c r="C192"/>
      <c r="D192"/>
      <c r="E192"/>
      <c r="F192"/>
      <c r="G192"/>
      <c r="H192"/>
    </row>
    <row r="193" spans="1:8" ht="14.4" x14ac:dyDescent="0.25">
      <c r="A193"/>
      <c r="B193"/>
      <c r="C193"/>
      <c r="D193"/>
      <c r="E193"/>
      <c r="F193"/>
      <c r="G193"/>
      <c r="H193"/>
    </row>
    <row r="194" spans="1:8" ht="14.4" x14ac:dyDescent="0.25">
      <c r="A194"/>
      <c r="B194"/>
      <c r="C194"/>
      <c r="D194"/>
      <c r="E194"/>
      <c r="F194"/>
      <c r="G194"/>
      <c r="H194"/>
    </row>
    <row r="195" spans="1:8" ht="14.4" x14ac:dyDescent="0.25">
      <c r="A195"/>
      <c r="B195"/>
      <c r="C195"/>
      <c r="D195"/>
      <c r="E195"/>
      <c r="F195"/>
      <c r="G195"/>
      <c r="H195"/>
    </row>
    <row r="196" spans="1:8" ht="14.4" x14ac:dyDescent="0.25">
      <c r="A196"/>
      <c r="B196"/>
      <c r="C196"/>
      <c r="D196"/>
      <c r="E196"/>
      <c r="F196"/>
      <c r="G196"/>
      <c r="H196"/>
    </row>
    <row r="197" spans="1:8" ht="14.4" x14ac:dyDescent="0.25">
      <c r="A197"/>
      <c r="B197"/>
      <c r="C197"/>
      <c r="D197"/>
      <c r="E197"/>
      <c r="F197"/>
      <c r="G197"/>
      <c r="H197"/>
    </row>
    <row r="198" spans="1:8" ht="14.4" x14ac:dyDescent="0.25">
      <c r="A198"/>
      <c r="B198"/>
      <c r="C198"/>
      <c r="D198"/>
      <c r="E198"/>
      <c r="F198"/>
      <c r="G198"/>
      <c r="H198"/>
    </row>
    <row r="199" spans="1:8" ht="14.4" x14ac:dyDescent="0.25">
      <c r="A199"/>
      <c r="B199"/>
      <c r="C199"/>
      <c r="D199"/>
      <c r="E199"/>
      <c r="F199"/>
      <c r="G199"/>
      <c r="H199"/>
    </row>
    <row r="200" spans="1:8" ht="14.4" x14ac:dyDescent="0.25">
      <c r="A200"/>
      <c r="B200"/>
      <c r="C200"/>
      <c r="D200"/>
      <c r="E200"/>
      <c r="F200"/>
      <c r="G200"/>
      <c r="H200"/>
    </row>
    <row r="201" spans="1:8" ht="14.4" x14ac:dyDescent="0.25">
      <c r="A201"/>
      <c r="B201"/>
      <c r="C201"/>
      <c r="D201"/>
      <c r="E201"/>
      <c r="F201"/>
      <c r="G201"/>
    </row>
    <row r="202" spans="1:8" ht="14.4" x14ac:dyDescent="0.25">
      <c r="A202"/>
      <c r="B202"/>
      <c r="C202"/>
      <c r="D202"/>
      <c r="E202"/>
      <c r="F202"/>
      <c r="G202"/>
    </row>
    <row r="203" spans="1:8" ht="14.4" x14ac:dyDescent="0.25">
      <c r="A203"/>
      <c r="B203"/>
      <c r="C203"/>
      <c r="D203"/>
      <c r="E203"/>
      <c r="F203"/>
      <c r="G203"/>
    </row>
    <row r="204" spans="1:8" ht="14.4" x14ac:dyDescent="0.25">
      <c r="A204"/>
      <c r="B204"/>
      <c r="C204"/>
      <c r="D204"/>
      <c r="E204"/>
      <c r="F204"/>
      <c r="G204"/>
    </row>
    <row r="205" spans="1:8" ht="14.4" x14ac:dyDescent="0.25">
      <c r="A205"/>
      <c r="B205"/>
      <c r="C205"/>
      <c r="D205"/>
      <c r="E205"/>
      <c r="F205"/>
      <c r="G205"/>
    </row>
    <row r="206" spans="1:8" ht="14.4" x14ac:dyDescent="0.25">
      <c r="A206"/>
      <c r="B206"/>
      <c r="C206"/>
      <c r="D206"/>
      <c r="E206"/>
      <c r="F206"/>
      <c r="G206"/>
    </row>
    <row r="207" spans="1:8" ht="14.4" x14ac:dyDescent="0.25">
      <c r="A207"/>
      <c r="B207"/>
      <c r="C207"/>
      <c r="D207"/>
      <c r="E207"/>
      <c r="F207"/>
      <c r="G207"/>
    </row>
    <row r="208" spans="1:8" ht="14.4" x14ac:dyDescent="0.25">
      <c r="A208"/>
      <c r="B208"/>
      <c r="C208"/>
      <c r="D208"/>
      <c r="E208"/>
      <c r="F208"/>
      <c r="G208"/>
    </row>
    <row r="209" spans="1:7" ht="14.4" x14ac:dyDescent="0.25">
      <c r="A209"/>
      <c r="B209"/>
      <c r="C209"/>
      <c r="D209"/>
      <c r="E209"/>
      <c r="F209"/>
      <c r="G209"/>
    </row>
    <row r="210" spans="1:7" ht="14.4" x14ac:dyDescent="0.25">
      <c r="A210"/>
      <c r="B210"/>
      <c r="C210"/>
      <c r="D210"/>
      <c r="E210"/>
      <c r="F210"/>
      <c r="G210"/>
    </row>
    <row r="211" spans="1:7" ht="14.4" x14ac:dyDescent="0.25">
      <c r="A211"/>
      <c r="B211"/>
      <c r="C211"/>
      <c r="D211"/>
      <c r="E211"/>
      <c r="F211"/>
      <c r="G211"/>
    </row>
    <row r="212" spans="1:7" ht="14.4" x14ac:dyDescent="0.25">
      <c r="A212"/>
      <c r="B212"/>
      <c r="C212"/>
      <c r="D212"/>
      <c r="E212"/>
      <c r="F212"/>
      <c r="G212"/>
    </row>
    <row r="213" spans="1:7" ht="14.4" x14ac:dyDescent="0.25">
      <c r="A213"/>
      <c r="B213"/>
      <c r="C213"/>
      <c r="D213"/>
      <c r="E213"/>
      <c r="F213"/>
      <c r="G213"/>
    </row>
    <row r="214" spans="1:7" ht="14.4" x14ac:dyDescent="0.25">
      <c r="A214"/>
      <c r="B214"/>
      <c r="C214"/>
      <c r="D214"/>
      <c r="E214"/>
      <c r="F214"/>
      <c r="G214"/>
    </row>
    <row r="215" spans="1:7" ht="14.4" x14ac:dyDescent="0.25">
      <c r="A215"/>
      <c r="B215"/>
      <c r="C215"/>
      <c r="D215"/>
      <c r="E215"/>
      <c r="F215"/>
      <c r="G215"/>
    </row>
    <row r="216" spans="1:7" ht="14.4" x14ac:dyDescent="0.25">
      <c r="A216"/>
      <c r="B216"/>
      <c r="C216"/>
      <c r="D216"/>
      <c r="E216"/>
      <c r="F216"/>
      <c r="G216"/>
    </row>
    <row r="217" spans="1:7" ht="14.4" x14ac:dyDescent="0.25">
      <c r="A217"/>
      <c r="B217"/>
      <c r="C217"/>
      <c r="D217"/>
      <c r="E217"/>
      <c r="F217"/>
      <c r="G217"/>
    </row>
    <row r="218" spans="1:7" ht="14.4" x14ac:dyDescent="0.25">
      <c r="A218"/>
      <c r="B218"/>
      <c r="C218"/>
      <c r="D218"/>
      <c r="E218"/>
      <c r="F218"/>
      <c r="G218"/>
    </row>
    <row r="219" spans="1:7" ht="14.4" x14ac:dyDescent="0.25">
      <c r="A219"/>
      <c r="B219"/>
      <c r="C219"/>
      <c r="D219"/>
      <c r="E219"/>
      <c r="F219"/>
      <c r="G219"/>
    </row>
    <row r="220" spans="1:7" ht="14.4" x14ac:dyDescent="0.25">
      <c r="A220"/>
      <c r="B220"/>
      <c r="C220"/>
      <c r="D220"/>
      <c r="E220"/>
      <c r="F220"/>
      <c r="G220"/>
    </row>
    <row r="221" spans="1:7" ht="14.4" x14ac:dyDescent="0.25">
      <c r="A221"/>
      <c r="B221"/>
      <c r="C221"/>
      <c r="D221"/>
      <c r="E221"/>
      <c r="F221"/>
      <c r="G221"/>
    </row>
    <row r="222" spans="1:7" ht="14.4" x14ac:dyDescent="0.25">
      <c r="A222"/>
      <c r="B222"/>
      <c r="C222"/>
      <c r="D222"/>
      <c r="E222"/>
      <c r="F222"/>
      <c r="G222"/>
    </row>
    <row r="223" spans="1:7" ht="14.4" x14ac:dyDescent="0.25">
      <c r="A223"/>
      <c r="B223"/>
      <c r="C223"/>
      <c r="D223"/>
      <c r="E223"/>
      <c r="F223"/>
      <c r="G223"/>
    </row>
    <row r="224" spans="1:7" ht="14.4" x14ac:dyDescent="0.25">
      <c r="A224"/>
      <c r="B224"/>
      <c r="C224"/>
      <c r="D224"/>
      <c r="E224"/>
      <c r="F224"/>
      <c r="G224"/>
    </row>
    <row r="225" spans="1:7" ht="14.4" x14ac:dyDescent="0.25">
      <c r="A225"/>
      <c r="B225"/>
      <c r="C225"/>
      <c r="D225"/>
      <c r="E225"/>
      <c r="F225"/>
      <c r="G225"/>
    </row>
    <row r="226" spans="1:7" ht="14.4" x14ac:dyDescent="0.25">
      <c r="A226"/>
      <c r="B226"/>
      <c r="C226"/>
      <c r="D226"/>
      <c r="E226"/>
      <c r="F226"/>
      <c r="G226"/>
    </row>
    <row r="227" spans="1:7" ht="14.4" x14ac:dyDescent="0.25">
      <c r="A227"/>
      <c r="B227"/>
      <c r="C227"/>
      <c r="D227"/>
      <c r="E227"/>
      <c r="F227"/>
      <c r="G227"/>
    </row>
    <row r="228" spans="1:7" ht="14.4" x14ac:dyDescent="0.25">
      <c r="A228"/>
      <c r="B228"/>
      <c r="C228"/>
      <c r="D228"/>
      <c r="E228"/>
      <c r="F228"/>
      <c r="G228"/>
    </row>
    <row r="229" spans="1:7" ht="14.4" x14ac:dyDescent="0.25">
      <c r="A229"/>
      <c r="B229"/>
      <c r="C229"/>
      <c r="D229"/>
      <c r="E229"/>
      <c r="F229"/>
      <c r="G229"/>
    </row>
    <row r="230" spans="1:7" ht="14.4" x14ac:dyDescent="0.25">
      <c r="A230"/>
      <c r="B230"/>
      <c r="C230"/>
      <c r="D230"/>
      <c r="E230"/>
      <c r="F230"/>
      <c r="G230"/>
    </row>
    <row r="231" spans="1:7" ht="14.4" x14ac:dyDescent="0.25">
      <c r="A231"/>
      <c r="B231"/>
      <c r="C231"/>
      <c r="D231"/>
      <c r="E231"/>
      <c r="F231"/>
      <c r="G231"/>
    </row>
    <row r="232" spans="1:7" ht="14.4" x14ac:dyDescent="0.25">
      <c r="A232"/>
      <c r="B232"/>
      <c r="C232"/>
      <c r="D232"/>
      <c r="E232"/>
      <c r="F232"/>
      <c r="G232"/>
    </row>
    <row r="233" spans="1:7" ht="14.4" x14ac:dyDescent="0.25">
      <c r="A233"/>
      <c r="B233"/>
      <c r="C233"/>
      <c r="D233"/>
      <c r="E233"/>
      <c r="F233"/>
      <c r="G233"/>
    </row>
    <row r="234" spans="1:7" ht="14.4" x14ac:dyDescent="0.25">
      <c r="A234"/>
      <c r="B234"/>
      <c r="C234"/>
      <c r="D234"/>
      <c r="E234"/>
      <c r="F234"/>
      <c r="G234"/>
    </row>
    <row r="235" spans="1:7" ht="14.4" x14ac:dyDescent="0.25">
      <c r="A235"/>
      <c r="B235"/>
      <c r="C235"/>
      <c r="D235"/>
      <c r="E235"/>
      <c r="F235"/>
      <c r="G235"/>
    </row>
    <row r="236" spans="1:7" ht="14.4" x14ac:dyDescent="0.25">
      <c r="A236"/>
      <c r="B236"/>
      <c r="C236"/>
      <c r="D236"/>
      <c r="E236"/>
      <c r="F236"/>
      <c r="G236"/>
    </row>
    <row r="237" spans="1:7" ht="14.4" x14ac:dyDescent="0.25">
      <c r="A237"/>
      <c r="B237"/>
      <c r="C237"/>
      <c r="D237"/>
      <c r="E237"/>
      <c r="F237"/>
      <c r="G237"/>
    </row>
    <row r="238" spans="1:7" ht="14.4" x14ac:dyDescent="0.25">
      <c r="A238"/>
      <c r="B238"/>
      <c r="C238"/>
      <c r="D238"/>
      <c r="E238"/>
      <c r="F238"/>
      <c r="G238"/>
    </row>
    <row r="239" spans="1:7" ht="14.4" x14ac:dyDescent="0.25">
      <c r="A239"/>
      <c r="B239"/>
      <c r="C239"/>
      <c r="D239"/>
      <c r="E239"/>
      <c r="F239"/>
      <c r="G239"/>
    </row>
    <row r="240" spans="1:7" ht="14.4" x14ac:dyDescent="0.25">
      <c r="A240"/>
      <c r="B240"/>
      <c r="C240"/>
      <c r="D240"/>
      <c r="E240"/>
      <c r="F240"/>
      <c r="G240"/>
    </row>
    <row r="241" spans="1:7" ht="14.4" x14ac:dyDescent="0.25">
      <c r="A241"/>
      <c r="B241"/>
      <c r="C241"/>
      <c r="D241"/>
      <c r="E241"/>
      <c r="F241"/>
      <c r="G241"/>
    </row>
    <row r="242" spans="1:7" ht="14.4" x14ac:dyDescent="0.25">
      <c r="A242"/>
      <c r="B242"/>
      <c r="C242"/>
      <c r="D242"/>
      <c r="E242"/>
      <c r="F242"/>
      <c r="G242"/>
    </row>
    <row r="243" spans="1:7" ht="14.4" x14ac:dyDescent="0.25">
      <c r="A243"/>
      <c r="B243"/>
      <c r="C243"/>
      <c r="D243"/>
      <c r="E243"/>
      <c r="F243"/>
      <c r="G243"/>
    </row>
    <row r="244" spans="1:7" ht="14.4" x14ac:dyDescent="0.25">
      <c r="A244"/>
      <c r="B244"/>
      <c r="C244"/>
      <c r="D244"/>
      <c r="E244"/>
      <c r="F244"/>
      <c r="G244"/>
    </row>
    <row r="245" spans="1:7" ht="14.4" x14ac:dyDescent="0.25">
      <c r="A245"/>
      <c r="B245"/>
      <c r="C245"/>
      <c r="D245"/>
      <c r="E245"/>
      <c r="F245"/>
      <c r="G245"/>
    </row>
    <row r="246" spans="1:7" ht="14.4" x14ac:dyDescent="0.25">
      <c r="A246"/>
      <c r="B246"/>
      <c r="C246"/>
      <c r="D246"/>
      <c r="E246"/>
      <c r="F246"/>
      <c r="G246"/>
    </row>
    <row r="247" spans="1:7" ht="14.4" x14ac:dyDescent="0.25">
      <c r="A247"/>
      <c r="B247"/>
      <c r="C247"/>
      <c r="D247"/>
      <c r="E247"/>
      <c r="F247"/>
      <c r="G247"/>
    </row>
    <row r="248" spans="1:7" ht="14.4" x14ac:dyDescent="0.25">
      <c r="A248"/>
      <c r="B248"/>
      <c r="C248"/>
      <c r="D248"/>
      <c r="E248"/>
      <c r="F248"/>
      <c r="G248"/>
    </row>
    <row r="249" spans="1:7" ht="14.4" x14ac:dyDescent="0.25">
      <c r="A249"/>
      <c r="B249"/>
      <c r="C249"/>
      <c r="D249"/>
      <c r="E249"/>
      <c r="F249"/>
      <c r="G249"/>
    </row>
    <row r="250" spans="1:7" ht="14.4" x14ac:dyDescent="0.25">
      <c r="A250"/>
      <c r="B250"/>
      <c r="C250"/>
      <c r="D250"/>
      <c r="E250"/>
      <c r="F250"/>
      <c r="G250"/>
    </row>
    <row r="251" spans="1:7" ht="14.4" x14ac:dyDescent="0.25">
      <c r="A251"/>
      <c r="B251"/>
      <c r="C251"/>
      <c r="D251"/>
      <c r="E251"/>
      <c r="F251"/>
      <c r="G251"/>
    </row>
    <row r="252" spans="1:7" ht="14.4" x14ac:dyDescent="0.25">
      <c r="A252"/>
      <c r="B252"/>
      <c r="C252"/>
      <c r="D252"/>
      <c r="E252"/>
      <c r="F252"/>
      <c r="G252"/>
    </row>
    <row r="253" spans="1:7" ht="14.4" x14ac:dyDescent="0.25">
      <c r="A253"/>
      <c r="B253"/>
      <c r="C253"/>
      <c r="D253"/>
      <c r="E253"/>
      <c r="F253"/>
      <c r="G253"/>
    </row>
    <row r="254" spans="1:7" ht="14.4" x14ac:dyDescent="0.25">
      <c r="A254"/>
      <c r="B254"/>
      <c r="C254"/>
      <c r="D254"/>
      <c r="E254"/>
      <c r="F254"/>
      <c r="G254"/>
    </row>
    <row r="255" spans="1:7" ht="14.4" x14ac:dyDescent="0.25">
      <c r="A255"/>
      <c r="B255"/>
      <c r="C255"/>
      <c r="D255"/>
      <c r="E255"/>
      <c r="F255"/>
      <c r="G255"/>
    </row>
    <row r="256" spans="1:7" ht="14.4" x14ac:dyDescent="0.25">
      <c r="A256"/>
      <c r="B256"/>
      <c r="C256"/>
      <c r="D256"/>
      <c r="E256"/>
      <c r="F256"/>
      <c r="G256"/>
    </row>
    <row r="257" spans="1:7" ht="14.4" x14ac:dyDescent="0.25">
      <c r="A257"/>
      <c r="B257"/>
      <c r="C257"/>
      <c r="D257"/>
      <c r="E257"/>
      <c r="F257"/>
      <c r="G257"/>
    </row>
    <row r="258" spans="1:7" ht="14.4" x14ac:dyDescent="0.25">
      <c r="A258"/>
      <c r="B258"/>
      <c r="C258"/>
      <c r="D258"/>
      <c r="E258"/>
      <c r="F258"/>
      <c r="G258"/>
    </row>
    <row r="259" spans="1:7" ht="14.4" x14ac:dyDescent="0.25">
      <c r="A259"/>
      <c r="B259"/>
      <c r="C259"/>
      <c r="D259"/>
      <c r="E259"/>
      <c r="F259"/>
      <c r="G259"/>
    </row>
    <row r="260" spans="1:7" ht="14.4" x14ac:dyDescent="0.25">
      <c r="A260"/>
      <c r="B260"/>
      <c r="C260"/>
      <c r="D260"/>
      <c r="E260"/>
      <c r="F260"/>
      <c r="G260"/>
    </row>
    <row r="261" spans="1:7" ht="14.4" x14ac:dyDescent="0.25">
      <c r="A261"/>
      <c r="B261"/>
      <c r="C261"/>
      <c r="D261"/>
      <c r="E261"/>
      <c r="F261"/>
      <c r="G261"/>
    </row>
    <row r="262" spans="1:7" ht="14.4" x14ac:dyDescent="0.25">
      <c r="A262"/>
      <c r="B262"/>
      <c r="C262"/>
      <c r="D262"/>
      <c r="E262"/>
      <c r="F262"/>
      <c r="G262"/>
    </row>
    <row r="263" spans="1:7" ht="14.4" x14ac:dyDescent="0.25">
      <c r="A263"/>
      <c r="B263"/>
      <c r="C263"/>
      <c r="D263"/>
      <c r="E263"/>
      <c r="F263"/>
      <c r="G263"/>
    </row>
    <row r="264" spans="1:7" ht="14.4" x14ac:dyDescent="0.25">
      <c r="A264"/>
      <c r="B264"/>
      <c r="C264"/>
      <c r="D264"/>
      <c r="E264"/>
      <c r="F264"/>
      <c r="G264"/>
    </row>
    <row r="265" spans="1:7" ht="14.4" x14ac:dyDescent="0.25">
      <c r="A265"/>
      <c r="B265"/>
      <c r="C265"/>
      <c r="D265"/>
      <c r="E265"/>
      <c r="F265"/>
      <c r="G265"/>
    </row>
    <row r="266" spans="1:7" ht="14.4" x14ac:dyDescent="0.25">
      <c r="A266"/>
      <c r="B266"/>
      <c r="C266"/>
      <c r="D266"/>
      <c r="E266"/>
      <c r="F266"/>
      <c r="G266"/>
    </row>
    <row r="267" spans="1:7" ht="14.4" x14ac:dyDescent="0.25">
      <c r="A267"/>
      <c r="B267"/>
      <c r="C267"/>
      <c r="D267"/>
      <c r="E267"/>
      <c r="F267"/>
      <c r="G267"/>
    </row>
    <row r="268" spans="1:7" ht="14.4" x14ac:dyDescent="0.25">
      <c r="A268"/>
      <c r="B268"/>
      <c r="C268"/>
      <c r="D268"/>
      <c r="E268"/>
      <c r="F268"/>
      <c r="G268"/>
    </row>
    <row r="269" spans="1:7" ht="14.4" x14ac:dyDescent="0.25">
      <c r="A269"/>
      <c r="B269"/>
      <c r="C269"/>
      <c r="D269"/>
      <c r="E269"/>
      <c r="F269"/>
      <c r="G269"/>
    </row>
    <row r="270" spans="1:7" ht="14.4" x14ac:dyDescent="0.25">
      <c r="A270"/>
      <c r="B270"/>
      <c r="C270"/>
      <c r="D270"/>
      <c r="E270"/>
      <c r="F270"/>
      <c r="G270"/>
    </row>
    <row r="271" spans="1:7" ht="14.4" x14ac:dyDescent="0.25">
      <c r="A271"/>
      <c r="B271"/>
      <c r="C271"/>
      <c r="D271"/>
      <c r="E271"/>
      <c r="F271"/>
      <c r="G271"/>
    </row>
    <row r="272" spans="1:7" ht="14.4" x14ac:dyDescent="0.25">
      <c r="A272"/>
      <c r="B272"/>
      <c r="C272"/>
      <c r="D272"/>
      <c r="E272"/>
      <c r="F272"/>
      <c r="G272"/>
    </row>
    <row r="273" spans="1:7" ht="14.4" x14ac:dyDescent="0.25">
      <c r="A273"/>
      <c r="B273"/>
      <c r="C273"/>
      <c r="D273"/>
      <c r="E273"/>
      <c r="F273"/>
      <c r="G273"/>
    </row>
    <row r="274" spans="1:7" ht="14.4" x14ac:dyDescent="0.25">
      <c r="A274"/>
      <c r="B274"/>
      <c r="C274"/>
      <c r="D274"/>
      <c r="E274"/>
      <c r="F274"/>
      <c r="G274"/>
    </row>
    <row r="275" spans="1:7" ht="14.4" x14ac:dyDescent="0.25">
      <c r="A275"/>
      <c r="B275"/>
      <c r="C275"/>
      <c r="D275"/>
      <c r="E275"/>
      <c r="F275"/>
      <c r="G275"/>
    </row>
    <row r="276" spans="1:7" ht="14.4" x14ac:dyDescent="0.25">
      <c r="A276"/>
      <c r="B276"/>
      <c r="C276"/>
      <c r="D276"/>
      <c r="E276"/>
      <c r="F276"/>
      <c r="G276"/>
    </row>
    <row r="277" spans="1:7" ht="14.4" x14ac:dyDescent="0.25">
      <c r="A277"/>
      <c r="B277"/>
      <c r="C277"/>
      <c r="D277"/>
      <c r="E277"/>
      <c r="F277"/>
      <c r="G277"/>
    </row>
    <row r="278" spans="1:7" ht="14.4" x14ac:dyDescent="0.25">
      <c r="A278"/>
      <c r="B278"/>
      <c r="C278"/>
      <c r="D278"/>
      <c r="E278"/>
      <c r="F278"/>
      <c r="G278"/>
    </row>
    <row r="279" spans="1:7" ht="14.4" x14ac:dyDescent="0.25">
      <c r="A279"/>
      <c r="B279"/>
      <c r="C279"/>
      <c r="D279"/>
      <c r="E279"/>
      <c r="F279"/>
      <c r="G279"/>
    </row>
    <row r="280" spans="1:7" ht="14.4" x14ac:dyDescent="0.25">
      <c r="A280"/>
      <c r="B280"/>
      <c r="C280"/>
      <c r="D280"/>
      <c r="E280"/>
      <c r="F280"/>
      <c r="G280"/>
    </row>
    <row r="281" spans="1:7" ht="14.4" x14ac:dyDescent="0.25">
      <c r="A281"/>
      <c r="B281"/>
      <c r="C281"/>
      <c r="D281"/>
      <c r="E281"/>
      <c r="F281"/>
      <c r="G281"/>
    </row>
    <row r="282" spans="1:7" ht="14.4" x14ac:dyDescent="0.25">
      <c r="A282"/>
      <c r="B282"/>
      <c r="C282"/>
      <c r="D282"/>
      <c r="E282"/>
      <c r="F282"/>
      <c r="G282"/>
    </row>
    <row r="283" spans="1:7" ht="14.4" x14ac:dyDescent="0.25">
      <c r="A283"/>
      <c r="B283"/>
      <c r="C283"/>
      <c r="D283"/>
      <c r="E283"/>
      <c r="F283"/>
      <c r="G283"/>
    </row>
    <row r="284" spans="1:7" ht="14.4" x14ac:dyDescent="0.25">
      <c r="A284"/>
      <c r="B284"/>
      <c r="C284"/>
      <c r="D284"/>
      <c r="E284"/>
      <c r="F284"/>
      <c r="G284"/>
    </row>
    <row r="285" spans="1:7" ht="14.4" x14ac:dyDescent="0.25">
      <c r="A285"/>
      <c r="B285"/>
      <c r="C285"/>
      <c r="D285"/>
      <c r="E285"/>
      <c r="F285"/>
      <c r="G285"/>
    </row>
    <row r="286" spans="1:7" ht="14.4" x14ac:dyDescent="0.25">
      <c r="A286"/>
      <c r="B286"/>
      <c r="C286"/>
      <c r="D286"/>
      <c r="E286"/>
      <c r="F286"/>
      <c r="G286"/>
    </row>
    <row r="287" spans="1:7" ht="14.4" x14ac:dyDescent="0.25">
      <c r="A287"/>
      <c r="B287"/>
      <c r="C287"/>
      <c r="D287"/>
      <c r="E287"/>
      <c r="F287"/>
      <c r="G287"/>
    </row>
    <row r="288" spans="1:7" ht="14.4" x14ac:dyDescent="0.25">
      <c r="A288"/>
      <c r="B288"/>
      <c r="C288"/>
      <c r="D288"/>
      <c r="E288"/>
      <c r="F288"/>
      <c r="G288"/>
    </row>
    <row r="289" spans="1:7" ht="14.4" x14ac:dyDescent="0.25">
      <c r="A289"/>
      <c r="B289"/>
      <c r="C289"/>
      <c r="D289"/>
      <c r="E289"/>
      <c r="F289"/>
      <c r="G289"/>
    </row>
    <row r="290" spans="1:7" ht="14.4" x14ac:dyDescent="0.25">
      <c r="A290"/>
      <c r="B290"/>
      <c r="C290"/>
      <c r="D290"/>
      <c r="E290"/>
      <c r="F290"/>
      <c r="G290"/>
    </row>
    <row r="291" spans="1:7" ht="14.4" x14ac:dyDescent="0.25">
      <c r="A291"/>
      <c r="B291"/>
      <c r="C291"/>
      <c r="D291"/>
      <c r="E291"/>
      <c r="F291"/>
      <c r="G291"/>
    </row>
    <row r="292" spans="1:7" ht="14.4" x14ac:dyDescent="0.25">
      <c r="A292"/>
      <c r="B292"/>
      <c r="C292"/>
      <c r="D292"/>
      <c r="E292"/>
      <c r="F292"/>
      <c r="G292"/>
    </row>
    <row r="293" spans="1:7" ht="14.4" x14ac:dyDescent="0.25">
      <c r="A293"/>
      <c r="B293"/>
      <c r="C293"/>
      <c r="D293"/>
      <c r="E293"/>
      <c r="F293"/>
      <c r="G293"/>
    </row>
    <row r="294" spans="1:7" ht="14.4" x14ac:dyDescent="0.25">
      <c r="A294"/>
      <c r="B294"/>
      <c r="C294"/>
      <c r="D294"/>
      <c r="E294"/>
      <c r="F294"/>
      <c r="G294"/>
    </row>
    <row r="295" spans="1:7" ht="14.4" x14ac:dyDescent="0.25">
      <c r="A295"/>
      <c r="B295"/>
      <c r="C295"/>
      <c r="D295"/>
      <c r="E295"/>
      <c r="F295"/>
      <c r="G295"/>
    </row>
    <row r="296" spans="1:7" ht="14.4" x14ac:dyDescent="0.25">
      <c r="A296"/>
      <c r="B296"/>
      <c r="C296"/>
      <c r="D296"/>
      <c r="E296"/>
      <c r="F296"/>
      <c r="G296"/>
    </row>
    <row r="297" spans="1:7" ht="14.4" x14ac:dyDescent="0.25">
      <c r="A297"/>
      <c r="B297"/>
      <c r="C297"/>
      <c r="D297"/>
      <c r="E297"/>
      <c r="F297"/>
      <c r="G297"/>
    </row>
    <row r="298" spans="1:7" ht="14.4" x14ac:dyDescent="0.25">
      <c r="A298"/>
      <c r="B298"/>
      <c r="C298"/>
      <c r="D298"/>
      <c r="E298"/>
      <c r="F298"/>
      <c r="G298"/>
    </row>
    <row r="299" spans="1:7" ht="14.4" x14ac:dyDescent="0.25">
      <c r="A299"/>
      <c r="B299"/>
      <c r="C299"/>
      <c r="D299"/>
      <c r="E299"/>
      <c r="F299"/>
      <c r="G299"/>
    </row>
    <row r="300" spans="1:7" ht="14.4" x14ac:dyDescent="0.25">
      <c r="A300"/>
      <c r="B300"/>
      <c r="C300"/>
      <c r="D300"/>
      <c r="E300"/>
      <c r="F300"/>
      <c r="G300"/>
    </row>
    <row r="301" spans="1:7" ht="14.4" x14ac:dyDescent="0.25">
      <c r="A301"/>
      <c r="B301"/>
      <c r="C301"/>
      <c r="D301"/>
      <c r="E301"/>
      <c r="F301"/>
      <c r="G301"/>
    </row>
    <row r="302" spans="1:7" ht="14.4" x14ac:dyDescent="0.25">
      <c r="A302"/>
      <c r="B302"/>
      <c r="C302"/>
      <c r="D302"/>
      <c r="E302"/>
      <c r="F302"/>
      <c r="G302"/>
    </row>
    <row r="303" spans="1:7" ht="14.4" x14ac:dyDescent="0.25">
      <c r="A303"/>
      <c r="B303"/>
      <c r="C303"/>
      <c r="D303"/>
      <c r="E303"/>
      <c r="F303"/>
      <c r="G303"/>
    </row>
    <row r="304" spans="1:7" ht="14.4" x14ac:dyDescent="0.25">
      <c r="A304"/>
      <c r="B304"/>
      <c r="C304"/>
      <c r="D304"/>
      <c r="E304"/>
      <c r="F304"/>
      <c r="G304"/>
    </row>
    <row r="305" spans="1:7" ht="14.4" x14ac:dyDescent="0.25">
      <c r="A305"/>
      <c r="B305"/>
      <c r="C305"/>
      <c r="D305"/>
      <c r="E305"/>
      <c r="F305"/>
      <c r="G305"/>
    </row>
    <row r="306" spans="1:7" ht="14.4" x14ac:dyDescent="0.25">
      <c r="A306"/>
      <c r="B306"/>
      <c r="C306"/>
      <c r="D306"/>
      <c r="E306"/>
      <c r="F306"/>
      <c r="G306"/>
    </row>
    <row r="307" spans="1:7" ht="14.4" x14ac:dyDescent="0.25">
      <c r="A307"/>
      <c r="B307"/>
      <c r="C307"/>
      <c r="D307"/>
      <c r="E307"/>
      <c r="F307"/>
      <c r="G307"/>
    </row>
    <row r="308" spans="1:7" ht="14.4" x14ac:dyDescent="0.25">
      <c r="A308"/>
      <c r="B308"/>
      <c r="C308"/>
      <c r="D308"/>
      <c r="E308"/>
      <c r="F308"/>
      <c r="G308"/>
    </row>
    <row r="309" spans="1:7" ht="14.4" x14ac:dyDescent="0.25">
      <c r="A309"/>
      <c r="B309"/>
      <c r="C309"/>
      <c r="D309"/>
      <c r="E309"/>
      <c r="F309"/>
      <c r="G309"/>
    </row>
    <row r="310" spans="1:7" ht="14.4" x14ac:dyDescent="0.25">
      <c r="A310"/>
      <c r="B310"/>
      <c r="C310"/>
      <c r="D310"/>
      <c r="E310"/>
      <c r="F310"/>
      <c r="G310"/>
    </row>
    <row r="311" spans="1:7" ht="14.4" x14ac:dyDescent="0.25">
      <c r="A311"/>
      <c r="B311"/>
      <c r="C311"/>
      <c r="D311"/>
      <c r="E311"/>
      <c r="F311"/>
      <c r="G311"/>
    </row>
    <row r="312" spans="1:7" ht="14.4" x14ac:dyDescent="0.25">
      <c r="A312"/>
      <c r="B312"/>
      <c r="C312"/>
      <c r="D312"/>
      <c r="E312"/>
      <c r="F312"/>
      <c r="G312"/>
    </row>
    <row r="313" spans="1:7" ht="14.4" x14ac:dyDescent="0.25">
      <c r="A313"/>
      <c r="B313"/>
      <c r="C313"/>
      <c r="D313"/>
      <c r="E313"/>
      <c r="F313"/>
      <c r="G313"/>
    </row>
    <row r="314" spans="1:7" ht="14.4" x14ac:dyDescent="0.25">
      <c r="A314"/>
      <c r="B314"/>
      <c r="C314"/>
      <c r="D314"/>
      <c r="E314"/>
      <c r="F314"/>
      <c r="G314"/>
    </row>
    <row r="315" spans="1:7" ht="14.4" x14ac:dyDescent="0.25">
      <c r="A315"/>
      <c r="B315"/>
      <c r="C315"/>
      <c r="D315"/>
      <c r="E315"/>
      <c r="F315"/>
      <c r="G315"/>
    </row>
    <row r="316" spans="1:7" ht="14.4" x14ac:dyDescent="0.25">
      <c r="A316"/>
      <c r="B316"/>
      <c r="C316"/>
      <c r="D316"/>
      <c r="E316"/>
      <c r="F316"/>
      <c r="G316"/>
    </row>
    <row r="317" spans="1:7" ht="14.4" x14ac:dyDescent="0.25">
      <c r="A317"/>
      <c r="B317"/>
      <c r="C317"/>
      <c r="D317"/>
      <c r="E317"/>
      <c r="F317"/>
      <c r="G317"/>
    </row>
    <row r="318" spans="1:7" ht="14.4" x14ac:dyDescent="0.25">
      <c r="A318"/>
      <c r="B318"/>
      <c r="C318"/>
      <c r="D318"/>
      <c r="E318"/>
      <c r="F318"/>
      <c r="G318"/>
    </row>
    <row r="319" spans="1:7" ht="14.4" x14ac:dyDescent="0.25">
      <c r="A319"/>
      <c r="B319"/>
      <c r="C319"/>
      <c r="D319"/>
      <c r="E319"/>
      <c r="F319"/>
      <c r="G319"/>
    </row>
    <row r="320" spans="1:7" ht="14.4" x14ac:dyDescent="0.25">
      <c r="A320"/>
      <c r="B320"/>
      <c r="C320"/>
      <c r="D320"/>
      <c r="E320"/>
      <c r="F320"/>
      <c r="G320"/>
    </row>
    <row r="321" spans="1:7" ht="14.4" x14ac:dyDescent="0.25">
      <c r="A321"/>
      <c r="B321"/>
      <c r="C321"/>
      <c r="D321"/>
      <c r="E321"/>
      <c r="F321"/>
      <c r="G321"/>
    </row>
    <row r="322" spans="1:7" ht="14.4" x14ac:dyDescent="0.25">
      <c r="A322"/>
      <c r="B322"/>
      <c r="C322"/>
      <c r="D322"/>
      <c r="E322"/>
      <c r="F322"/>
      <c r="G322"/>
    </row>
    <row r="323" spans="1:7" ht="14.4" x14ac:dyDescent="0.25">
      <c r="A323"/>
      <c r="B323"/>
      <c r="C323"/>
      <c r="D323"/>
      <c r="E323"/>
      <c r="F323"/>
      <c r="G323"/>
    </row>
    <row r="324" spans="1:7" ht="14.4" x14ac:dyDescent="0.25">
      <c r="A324"/>
      <c r="B324"/>
      <c r="C324"/>
      <c r="D324"/>
      <c r="E324"/>
      <c r="F324"/>
      <c r="G324"/>
    </row>
    <row r="325" spans="1:7" ht="14.4" x14ac:dyDescent="0.25">
      <c r="A325"/>
      <c r="B325"/>
      <c r="C325"/>
      <c r="D325"/>
      <c r="E325"/>
      <c r="F325"/>
      <c r="G325"/>
    </row>
    <row r="326" spans="1:7" ht="14.4" x14ac:dyDescent="0.25">
      <c r="A326"/>
      <c r="B326"/>
      <c r="C326"/>
      <c r="D326"/>
      <c r="E326"/>
      <c r="F326"/>
      <c r="G326"/>
    </row>
    <row r="327" spans="1:7" ht="14.4" x14ac:dyDescent="0.25">
      <c r="A327"/>
      <c r="B327"/>
      <c r="C327"/>
      <c r="D327"/>
      <c r="E327"/>
      <c r="F327"/>
      <c r="G327"/>
    </row>
    <row r="328" spans="1:7" ht="14.4" x14ac:dyDescent="0.25">
      <c r="A328"/>
      <c r="B328"/>
      <c r="C328"/>
      <c r="D328"/>
      <c r="E328"/>
      <c r="F328"/>
      <c r="G328"/>
    </row>
    <row r="329" spans="1:7" ht="14.4" x14ac:dyDescent="0.25">
      <c r="A329"/>
      <c r="B329"/>
      <c r="C329"/>
      <c r="D329"/>
      <c r="E329"/>
      <c r="F329"/>
      <c r="G329"/>
    </row>
    <row r="330" spans="1:7" ht="14.4" x14ac:dyDescent="0.25">
      <c r="A330"/>
      <c r="B330"/>
      <c r="C330"/>
      <c r="D330"/>
      <c r="E330"/>
      <c r="F330"/>
      <c r="G330"/>
    </row>
    <row r="331" spans="1:7" ht="14.4" x14ac:dyDescent="0.25">
      <c r="A331"/>
      <c r="B331"/>
      <c r="C331"/>
      <c r="D331"/>
      <c r="E331"/>
      <c r="F331"/>
      <c r="G331"/>
    </row>
    <row r="332" spans="1:7" ht="14.4" x14ac:dyDescent="0.25">
      <c r="A332"/>
      <c r="B332"/>
      <c r="C332"/>
      <c r="D332"/>
      <c r="E332"/>
      <c r="F332"/>
      <c r="G332"/>
    </row>
    <row r="333" spans="1:7" ht="14.4" x14ac:dyDescent="0.25">
      <c r="A333"/>
      <c r="B333"/>
      <c r="C333"/>
      <c r="D333"/>
      <c r="E333"/>
      <c r="F333"/>
      <c r="G333"/>
    </row>
    <row r="334" spans="1:7" ht="14.4" x14ac:dyDescent="0.25">
      <c r="A334"/>
      <c r="B334"/>
      <c r="C334"/>
      <c r="D334"/>
      <c r="E334"/>
      <c r="F334"/>
      <c r="G334"/>
    </row>
    <row r="335" spans="1:7" ht="14.4" x14ac:dyDescent="0.25">
      <c r="A335"/>
      <c r="B335"/>
      <c r="C335"/>
      <c r="D335"/>
      <c r="E335"/>
      <c r="F335"/>
      <c r="G335"/>
    </row>
    <row r="336" spans="1:7" ht="14.4" x14ac:dyDescent="0.25">
      <c r="A336"/>
      <c r="B336"/>
      <c r="C336"/>
      <c r="D336"/>
      <c r="E336"/>
      <c r="F336"/>
      <c r="G336"/>
    </row>
    <row r="337" spans="1:7" ht="14.4" x14ac:dyDescent="0.25">
      <c r="A337"/>
      <c r="B337"/>
      <c r="C337"/>
      <c r="D337"/>
      <c r="E337"/>
      <c r="F337"/>
      <c r="G337"/>
    </row>
    <row r="338" spans="1:7" ht="14.4" x14ac:dyDescent="0.25">
      <c r="A338"/>
      <c r="B338"/>
      <c r="C338"/>
      <c r="D338"/>
      <c r="E338"/>
      <c r="F338"/>
      <c r="G338"/>
    </row>
    <row r="339" spans="1:7" ht="14.4" x14ac:dyDescent="0.25">
      <c r="A339"/>
      <c r="B339"/>
      <c r="C339"/>
      <c r="D339"/>
      <c r="E339"/>
      <c r="F339"/>
      <c r="G339"/>
    </row>
    <row r="340" spans="1:7" ht="14.4" x14ac:dyDescent="0.25">
      <c r="A340"/>
      <c r="B340"/>
      <c r="C340"/>
      <c r="D340"/>
      <c r="E340"/>
      <c r="F340"/>
      <c r="G340"/>
    </row>
    <row r="341" spans="1:7" ht="14.4" x14ac:dyDescent="0.25">
      <c r="A341"/>
      <c r="B341"/>
      <c r="C341"/>
      <c r="D341"/>
      <c r="E341"/>
      <c r="F341"/>
      <c r="G341"/>
    </row>
    <row r="342" spans="1:7" ht="14.4" x14ac:dyDescent="0.25">
      <c r="A342"/>
      <c r="B342"/>
      <c r="C342"/>
      <c r="D342"/>
      <c r="E342"/>
      <c r="F342"/>
      <c r="G342"/>
    </row>
    <row r="343" spans="1:7" ht="14.4" x14ac:dyDescent="0.25">
      <c r="A343"/>
      <c r="B343"/>
      <c r="C343"/>
      <c r="D343"/>
      <c r="E343"/>
      <c r="F343"/>
      <c r="G343"/>
    </row>
    <row r="344" spans="1:7" ht="14.4" x14ac:dyDescent="0.25">
      <c r="A344"/>
      <c r="B344"/>
      <c r="C344"/>
      <c r="D344"/>
      <c r="E344"/>
      <c r="F344"/>
      <c r="G344"/>
    </row>
    <row r="345" spans="1:7" ht="14.4" x14ac:dyDescent="0.25">
      <c r="A345"/>
      <c r="B345"/>
      <c r="C345"/>
      <c r="D345"/>
      <c r="E345"/>
      <c r="F345"/>
      <c r="G345"/>
    </row>
    <row r="346" spans="1:7" ht="14.4" x14ac:dyDescent="0.25">
      <c r="A346"/>
      <c r="B346"/>
      <c r="C346"/>
      <c r="D346"/>
      <c r="E346"/>
      <c r="F346"/>
      <c r="G346"/>
    </row>
    <row r="347" spans="1:7" ht="14.4" x14ac:dyDescent="0.25">
      <c r="A347"/>
      <c r="B347"/>
      <c r="C347"/>
      <c r="D347"/>
      <c r="E347"/>
      <c r="F347"/>
      <c r="G347"/>
    </row>
    <row r="348" spans="1:7" ht="14.4" x14ac:dyDescent="0.25">
      <c r="A348"/>
      <c r="B348"/>
      <c r="C348"/>
      <c r="D348"/>
      <c r="E348"/>
      <c r="F348"/>
      <c r="G348"/>
    </row>
    <row r="349" spans="1:7" ht="14.4" x14ac:dyDescent="0.25">
      <c r="A349"/>
      <c r="B349"/>
      <c r="C349"/>
      <c r="D349"/>
      <c r="E349"/>
      <c r="F349"/>
      <c r="G349"/>
    </row>
    <row r="350" spans="1:7" ht="14.4" x14ac:dyDescent="0.25">
      <c r="A350"/>
      <c r="B350"/>
      <c r="C350"/>
      <c r="D350"/>
      <c r="E350"/>
      <c r="F350"/>
      <c r="G350"/>
    </row>
    <row r="351" spans="1:7" ht="14.4" x14ac:dyDescent="0.25">
      <c r="A351"/>
      <c r="B351"/>
      <c r="C351"/>
      <c r="D351"/>
      <c r="E351"/>
      <c r="F351"/>
      <c r="G351"/>
    </row>
    <row r="352" spans="1:7" ht="14.4" x14ac:dyDescent="0.25">
      <c r="A352"/>
      <c r="B352"/>
      <c r="C352"/>
      <c r="D352"/>
      <c r="E352"/>
      <c r="F352"/>
      <c r="G352"/>
    </row>
    <row r="353" spans="1:7" ht="14.4" x14ac:dyDescent="0.25">
      <c r="A353"/>
      <c r="B353"/>
      <c r="C353"/>
      <c r="D353"/>
      <c r="E353"/>
      <c r="F353"/>
      <c r="G353"/>
    </row>
    <row r="354" spans="1:7" ht="14.4" x14ac:dyDescent="0.25">
      <c r="A354"/>
      <c r="B354"/>
      <c r="C354"/>
      <c r="D354"/>
      <c r="E354"/>
      <c r="F354"/>
      <c r="G354"/>
    </row>
    <row r="355" spans="1:7" ht="14.4" x14ac:dyDescent="0.25">
      <c r="A355"/>
      <c r="B355"/>
      <c r="C355"/>
      <c r="D355"/>
      <c r="E355"/>
      <c r="F355"/>
      <c r="G355"/>
    </row>
    <row r="356" spans="1:7" ht="14.4" x14ac:dyDescent="0.25">
      <c r="A356"/>
      <c r="B356"/>
      <c r="C356"/>
      <c r="D356"/>
      <c r="E356"/>
      <c r="F356"/>
      <c r="G356"/>
    </row>
    <row r="357" spans="1:7" ht="14.4" x14ac:dyDescent="0.25">
      <c r="A357"/>
      <c r="B357"/>
      <c r="C357"/>
      <c r="D357"/>
      <c r="E357"/>
      <c r="F357"/>
      <c r="G357"/>
    </row>
    <row r="358" spans="1:7" ht="14.4" x14ac:dyDescent="0.25">
      <c r="A358"/>
      <c r="B358"/>
      <c r="C358"/>
      <c r="D358"/>
      <c r="E358"/>
      <c r="F358"/>
      <c r="G358"/>
    </row>
    <row r="359" spans="1:7" ht="14.4" x14ac:dyDescent="0.25">
      <c r="A359"/>
      <c r="B359"/>
      <c r="C359"/>
      <c r="D359"/>
      <c r="E359"/>
      <c r="F359"/>
      <c r="G359"/>
    </row>
    <row r="360" spans="1:7" ht="14.4" x14ac:dyDescent="0.25">
      <c r="A360"/>
      <c r="B360"/>
      <c r="C360"/>
      <c r="D360"/>
      <c r="E360"/>
      <c r="F360"/>
      <c r="G360"/>
    </row>
    <row r="361" spans="1:7" ht="14.4" x14ac:dyDescent="0.25">
      <c r="A361"/>
      <c r="B361"/>
      <c r="C361"/>
      <c r="D361"/>
      <c r="E361"/>
      <c r="F361"/>
      <c r="G361"/>
    </row>
    <row r="362" spans="1:7" ht="14.4" x14ac:dyDescent="0.25">
      <c r="A362"/>
      <c r="B362"/>
      <c r="C362"/>
      <c r="D362"/>
      <c r="E362"/>
      <c r="F362"/>
      <c r="G362"/>
    </row>
    <row r="363" spans="1:7" ht="14.4" x14ac:dyDescent="0.25">
      <c r="A363"/>
      <c r="B363"/>
      <c r="C363"/>
      <c r="D363"/>
      <c r="E363"/>
      <c r="F363"/>
      <c r="G363"/>
    </row>
    <row r="364" spans="1:7" ht="14.4" x14ac:dyDescent="0.25">
      <c r="A364"/>
      <c r="B364"/>
      <c r="C364"/>
      <c r="D364"/>
      <c r="E364"/>
      <c r="F364"/>
      <c r="G364"/>
    </row>
    <row r="365" spans="1:7" ht="14.4" x14ac:dyDescent="0.25">
      <c r="A365"/>
      <c r="B365"/>
      <c r="C365"/>
      <c r="D365"/>
      <c r="E365"/>
      <c r="F365"/>
      <c r="G365"/>
    </row>
    <row r="366" spans="1:7" ht="14.4" x14ac:dyDescent="0.25">
      <c r="A366"/>
      <c r="B366"/>
      <c r="C366"/>
      <c r="D366"/>
      <c r="E366"/>
      <c r="F366"/>
      <c r="G366"/>
    </row>
    <row r="367" spans="1:7" ht="14.4" x14ac:dyDescent="0.25">
      <c r="A367"/>
      <c r="B367"/>
      <c r="C367"/>
      <c r="D367"/>
      <c r="E367"/>
      <c r="F367"/>
      <c r="G367"/>
    </row>
    <row r="368" spans="1:7" ht="14.4" x14ac:dyDescent="0.25">
      <c r="A368"/>
      <c r="B368"/>
      <c r="C368"/>
      <c r="D368"/>
      <c r="E368"/>
      <c r="F368"/>
      <c r="G368"/>
    </row>
    <row r="369" spans="1:7" ht="14.4" x14ac:dyDescent="0.25">
      <c r="A369"/>
      <c r="B369"/>
      <c r="C369"/>
      <c r="D369"/>
      <c r="E369"/>
      <c r="F369"/>
      <c r="G369"/>
    </row>
    <row r="370" spans="1:7" ht="14.4" x14ac:dyDescent="0.25">
      <c r="A370"/>
      <c r="B370"/>
      <c r="C370"/>
      <c r="D370"/>
      <c r="E370"/>
      <c r="F370"/>
      <c r="G370"/>
    </row>
    <row r="371" spans="1:7" ht="14.4" x14ac:dyDescent="0.25">
      <c r="A371"/>
      <c r="B371"/>
      <c r="C371"/>
      <c r="D371"/>
      <c r="E371"/>
      <c r="F371"/>
      <c r="G371"/>
    </row>
    <row r="372" spans="1:7" ht="14.4" x14ac:dyDescent="0.25">
      <c r="A372"/>
      <c r="B372"/>
      <c r="C372"/>
      <c r="D372"/>
      <c r="E372"/>
      <c r="F372"/>
      <c r="G372"/>
    </row>
    <row r="373" spans="1:7" ht="14.4" x14ac:dyDescent="0.25">
      <c r="A373"/>
      <c r="B373"/>
      <c r="C373"/>
      <c r="D373"/>
      <c r="E373"/>
      <c r="F373"/>
      <c r="G373"/>
    </row>
    <row r="374" spans="1:7" ht="14.4" x14ac:dyDescent="0.25">
      <c r="A374"/>
      <c r="B374"/>
      <c r="C374"/>
      <c r="D374"/>
      <c r="E374"/>
      <c r="F374"/>
      <c r="G374"/>
    </row>
    <row r="375" spans="1:7" ht="14.4" x14ac:dyDescent="0.25">
      <c r="A375"/>
      <c r="B375"/>
      <c r="C375"/>
      <c r="D375"/>
      <c r="E375"/>
      <c r="F375"/>
      <c r="G375"/>
    </row>
    <row r="376" spans="1:7" ht="14.4" x14ac:dyDescent="0.25">
      <c r="A376"/>
      <c r="B376"/>
      <c r="C376"/>
      <c r="D376"/>
      <c r="E376"/>
      <c r="F376"/>
      <c r="G376"/>
    </row>
    <row r="377" spans="1:7" ht="14.4" x14ac:dyDescent="0.25">
      <c r="A377"/>
      <c r="B377"/>
      <c r="C377"/>
      <c r="D377"/>
      <c r="E377"/>
      <c r="F377"/>
      <c r="G377"/>
    </row>
    <row r="378" spans="1:7" ht="14.4" x14ac:dyDescent="0.25">
      <c r="A378"/>
      <c r="B378"/>
      <c r="C378"/>
      <c r="D378"/>
      <c r="E378"/>
      <c r="F378"/>
      <c r="G378"/>
    </row>
    <row r="379" spans="1:7" ht="14.4" x14ac:dyDescent="0.25">
      <c r="A379"/>
      <c r="B379"/>
      <c r="C379"/>
      <c r="D379"/>
      <c r="E379"/>
      <c r="F379"/>
      <c r="G379"/>
    </row>
    <row r="380" spans="1:7" ht="14.4" x14ac:dyDescent="0.25">
      <c r="A380"/>
      <c r="B380"/>
      <c r="C380"/>
      <c r="D380"/>
      <c r="E380"/>
      <c r="F380"/>
      <c r="G380"/>
    </row>
    <row r="381" spans="1:7" ht="14.4" x14ac:dyDescent="0.25">
      <c r="A381"/>
      <c r="B381"/>
      <c r="C381"/>
      <c r="D381"/>
      <c r="E381"/>
      <c r="F381"/>
      <c r="G381"/>
    </row>
    <row r="382" spans="1:7" ht="14.4" x14ac:dyDescent="0.25">
      <c r="A382"/>
      <c r="B382"/>
      <c r="C382"/>
      <c r="D382"/>
      <c r="E382"/>
      <c r="F382"/>
      <c r="G382"/>
    </row>
    <row r="383" spans="1:7" ht="14.4" x14ac:dyDescent="0.25">
      <c r="A383"/>
      <c r="B383"/>
      <c r="C383"/>
      <c r="D383"/>
      <c r="E383"/>
      <c r="F383"/>
      <c r="G383"/>
    </row>
    <row r="384" spans="1:7" ht="14.4" x14ac:dyDescent="0.25">
      <c r="A384"/>
      <c r="B384"/>
      <c r="C384"/>
      <c r="D384"/>
      <c r="E384"/>
      <c r="F384"/>
      <c r="G384"/>
    </row>
    <row r="385" spans="1:7" ht="14.4" x14ac:dyDescent="0.25">
      <c r="A385"/>
      <c r="B385"/>
      <c r="C385"/>
      <c r="D385"/>
      <c r="E385"/>
      <c r="F385"/>
      <c r="G385"/>
    </row>
    <row r="386" spans="1:7" ht="14.4" x14ac:dyDescent="0.25">
      <c r="A386"/>
      <c r="B386"/>
      <c r="C386"/>
      <c r="D386"/>
      <c r="E386"/>
      <c r="F386"/>
      <c r="G386"/>
    </row>
    <row r="387" spans="1:7" ht="14.4" x14ac:dyDescent="0.25">
      <c r="A387"/>
      <c r="B387"/>
      <c r="C387"/>
      <c r="D387"/>
      <c r="E387"/>
      <c r="F387"/>
      <c r="G387"/>
    </row>
    <row r="388" spans="1:7" ht="14.4" x14ac:dyDescent="0.25">
      <c r="A388"/>
      <c r="B388"/>
      <c r="C388"/>
      <c r="D388"/>
      <c r="E388"/>
      <c r="F388"/>
      <c r="G388"/>
    </row>
    <row r="389" spans="1:7" ht="14.4" x14ac:dyDescent="0.25">
      <c r="A389"/>
      <c r="B389"/>
      <c r="C389"/>
      <c r="D389"/>
      <c r="E389"/>
      <c r="F389"/>
      <c r="G389"/>
    </row>
    <row r="390" spans="1:7" ht="14.4" x14ac:dyDescent="0.25">
      <c r="A390"/>
      <c r="B390"/>
      <c r="C390"/>
      <c r="D390"/>
      <c r="E390"/>
      <c r="F390"/>
      <c r="G390"/>
    </row>
    <row r="391" spans="1:7" ht="14.4" x14ac:dyDescent="0.25">
      <c r="A391"/>
      <c r="B391"/>
      <c r="C391"/>
      <c r="D391"/>
      <c r="E391"/>
      <c r="F391"/>
      <c r="G391"/>
    </row>
    <row r="392" spans="1:7" ht="14.4" x14ac:dyDescent="0.25">
      <c r="A392"/>
      <c r="B392"/>
      <c r="C392"/>
      <c r="D392"/>
      <c r="E392"/>
      <c r="F392"/>
      <c r="G392"/>
    </row>
    <row r="393" spans="1:7" ht="14.4" x14ac:dyDescent="0.25">
      <c r="A393"/>
      <c r="B393"/>
      <c r="C393"/>
      <c r="D393"/>
      <c r="E393"/>
      <c r="F393"/>
      <c r="G393"/>
    </row>
    <row r="394" spans="1:7" ht="14.4" x14ac:dyDescent="0.25">
      <c r="A394"/>
      <c r="B394"/>
      <c r="C394"/>
      <c r="D394"/>
      <c r="E394"/>
      <c r="F394"/>
      <c r="G394"/>
    </row>
    <row r="395" spans="1:7" ht="14.4" x14ac:dyDescent="0.25">
      <c r="A395"/>
      <c r="B395"/>
      <c r="C395"/>
      <c r="D395"/>
      <c r="E395"/>
      <c r="F395"/>
      <c r="G395"/>
    </row>
    <row r="396" spans="1:7" ht="14.4" x14ac:dyDescent="0.25">
      <c r="A396"/>
      <c r="B396"/>
      <c r="C396"/>
      <c r="D396"/>
      <c r="E396"/>
      <c r="F396"/>
      <c r="G396"/>
    </row>
    <row r="397" spans="1:7" ht="14.4" x14ac:dyDescent="0.25">
      <c r="A397"/>
      <c r="B397"/>
      <c r="C397"/>
      <c r="D397"/>
      <c r="E397"/>
      <c r="F397"/>
      <c r="G397"/>
    </row>
    <row r="398" spans="1:7" ht="14.4" x14ac:dyDescent="0.25">
      <c r="A398"/>
      <c r="B398"/>
      <c r="C398"/>
      <c r="D398"/>
      <c r="E398"/>
      <c r="F398"/>
      <c r="G398"/>
    </row>
    <row r="399" spans="1:7" ht="14.4" x14ac:dyDescent="0.25">
      <c r="A399"/>
      <c r="B399"/>
      <c r="C399"/>
      <c r="D399"/>
      <c r="E399"/>
      <c r="F399"/>
      <c r="G399"/>
    </row>
    <row r="400" spans="1:7" ht="14.4" x14ac:dyDescent="0.25">
      <c r="A400"/>
      <c r="B400"/>
      <c r="C400"/>
      <c r="D400"/>
      <c r="E400"/>
      <c r="F400"/>
      <c r="G400"/>
    </row>
    <row r="401" spans="1:7" ht="14.4" x14ac:dyDescent="0.25">
      <c r="A401"/>
      <c r="B401"/>
      <c r="C401"/>
      <c r="D401"/>
      <c r="E401"/>
      <c r="F401"/>
      <c r="G401"/>
    </row>
    <row r="402" spans="1:7" ht="14.4" x14ac:dyDescent="0.25">
      <c r="A402"/>
      <c r="B402"/>
      <c r="C402"/>
      <c r="D402"/>
      <c r="E402"/>
      <c r="F402"/>
      <c r="G402"/>
    </row>
    <row r="403" spans="1:7" ht="14.4" x14ac:dyDescent="0.25">
      <c r="A403"/>
      <c r="B403"/>
      <c r="C403"/>
      <c r="D403"/>
      <c r="E403"/>
      <c r="F403"/>
      <c r="G403"/>
    </row>
    <row r="404" spans="1:7" ht="14.4" x14ac:dyDescent="0.25">
      <c r="A404"/>
      <c r="B404"/>
      <c r="C404"/>
      <c r="D404"/>
      <c r="E404"/>
      <c r="F404"/>
      <c r="G404"/>
    </row>
    <row r="405" spans="1:7" ht="14.4" x14ac:dyDescent="0.25">
      <c r="A405"/>
      <c r="B405"/>
      <c r="C405"/>
      <c r="D405"/>
      <c r="E405"/>
      <c r="F405"/>
      <c r="G405"/>
    </row>
    <row r="406" spans="1:7" ht="14.4" x14ac:dyDescent="0.25">
      <c r="A406"/>
      <c r="B406"/>
      <c r="C406"/>
      <c r="D406"/>
      <c r="E406"/>
      <c r="F406"/>
      <c r="G406"/>
    </row>
    <row r="407" spans="1:7" ht="14.4" x14ac:dyDescent="0.25">
      <c r="A407"/>
      <c r="B407"/>
      <c r="C407"/>
      <c r="D407"/>
      <c r="E407"/>
      <c r="F407"/>
      <c r="G407"/>
    </row>
    <row r="408" spans="1:7" ht="14.4" x14ac:dyDescent="0.25">
      <c r="A408"/>
      <c r="B408"/>
      <c r="C408"/>
      <c r="D408"/>
      <c r="E408"/>
      <c r="F408"/>
      <c r="G408"/>
    </row>
    <row r="409" spans="1:7" ht="14.4" x14ac:dyDescent="0.25">
      <c r="A409"/>
      <c r="B409"/>
      <c r="C409"/>
      <c r="D409"/>
      <c r="E409"/>
      <c r="F409"/>
      <c r="G409"/>
    </row>
    <row r="410" spans="1:7" ht="14.4" x14ac:dyDescent="0.25">
      <c r="A410"/>
      <c r="B410"/>
      <c r="C410"/>
      <c r="D410"/>
      <c r="E410"/>
      <c r="F410"/>
      <c r="G410"/>
    </row>
    <row r="411" spans="1:7" ht="14.4" x14ac:dyDescent="0.25">
      <c r="A411"/>
      <c r="B411"/>
      <c r="C411"/>
      <c r="D411"/>
      <c r="E411"/>
      <c r="F411"/>
      <c r="G411"/>
    </row>
    <row r="412" spans="1:7" ht="14.4" x14ac:dyDescent="0.25">
      <c r="A412"/>
      <c r="B412"/>
      <c r="C412"/>
      <c r="D412"/>
      <c r="E412"/>
      <c r="F412"/>
      <c r="G412"/>
    </row>
    <row r="413" spans="1:7" ht="14.4" x14ac:dyDescent="0.25">
      <c r="A413"/>
      <c r="B413"/>
      <c r="C413"/>
      <c r="D413"/>
      <c r="E413"/>
      <c r="F413"/>
      <c r="G413"/>
    </row>
    <row r="414" spans="1:7" ht="14.4" x14ac:dyDescent="0.25">
      <c r="A414"/>
      <c r="B414"/>
      <c r="C414"/>
      <c r="D414"/>
      <c r="E414"/>
      <c r="F414"/>
      <c r="G414"/>
    </row>
    <row r="415" spans="1:7" ht="14.4" x14ac:dyDescent="0.25">
      <c r="A415"/>
      <c r="B415"/>
      <c r="C415"/>
      <c r="D415"/>
      <c r="E415"/>
      <c r="F415"/>
      <c r="G415"/>
    </row>
    <row r="416" spans="1:7" ht="14.4" x14ac:dyDescent="0.25">
      <c r="A416"/>
      <c r="B416"/>
      <c r="C416"/>
      <c r="D416"/>
      <c r="E416"/>
      <c r="F416"/>
      <c r="G416"/>
    </row>
    <row r="417" spans="1:7" ht="14.4" x14ac:dyDescent="0.25">
      <c r="A417"/>
      <c r="B417"/>
      <c r="C417"/>
      <c r="D417"/>
      <c r="E417"/>
      <c r="F417"/>
      <c r="G417"/>
    </row>
    <row r="418" spans="1:7" ht="14.4" x14ac:dyDescent="0.25">
      <c r="A418"/>
      <c r="B418"/>
      <c r="C418"/>
      <c r="D418"/>
      <c r="E418"/>
      <c r="F418"/>
      <c r="G418"/>
    </row>
    <row r="419" spans="1:7" ht="14.4" x14ac:dyDescent="0.25">
      <c r="A419"/>
      <c r="B419"/>
      <c r="C419"/>
      <c r="D419"/>
      <c r="E419"/>
      <c r="F419"/>
      <c r="G419"/>
    </row>
    <row r="420" spans="1:7" ht="14.4" x14ac:dyDescent="0.25">
      <c r="A420"/>
      <c r="B420"/>
      <c r="C420"/>
      <c r="D420"/>
      <c r="E420"/>
      <c r="F420"/>
      <c r="G420"/>
    </row>
    <row r="421" spans="1:7" ht="14.4" x14ac:dyDescent="0.25">
      <c r="A421"/>
      <c r="B421"/>
      <c r="C421"/>
      <c r="D421"/>
      <c r="E421"/>
      <c r="F421"/>
      <c r="G421"/>
    </row>
    <row r="422" spans="1:7" ht="14.4" x14ac:dyDescent="0.25">
      <c r="A422"/>
      <c r="B422"/>
      <c r="C422"/>
      <c r="D422"/>
      <c r="E422"/>
      <c r="F422"/>
      <c r="G422"/>
    </row>
    <row r="423" spans="1:7" ht="14.4" x14ac:dyDescent="0.25">
      <c r="A423"/>
      <c r="B423"/>
      <c r="C423"/>
      <c r="D423"/>
      <c r="E423"/>
      <c r="F423"/>
      <c r="G423"/>
    </row>
    <row r="424" spans="1:7" ht="14.4" x14ac:dyDescent="0.25">
      <c r="A424"/>
      <c r="B424"/>
      <c r="C424"/>
      <c r="D424"/>
      <c r="E424"/>
      <c r="F424"/>
      <c r="G424"/>
    </row>
    <row r="425" spans="1:7" ht="14.4" x14ac:dyDescent="0.25">
      <c r="A425"/>
      <c r="B425"/>
      <c r="C425"/>
      <c r="D425"/>
      <c r="E425"/>
      <c r="F425"/>
      <c r="G425"/>
    </row>
    <row r="426" spans="1:7" ht="14.4" x14ac:dyDescent="0.25">
      <c r="A426"/>
      <c r="B426"/>
      <c r="C426"/>
      <c r="D426"/>
      <c r="E426"/>
      <c r="F426"/>
      <c r="G426"/>
    </row>
    <row r="427" spans="1:7" ht="14.4" x14ac:dyDescent="0.25">
      <c r="A427"/>
      <c r="B427"/>
      <c r="C427"/>
      <c r="D427"/>
      <c r="E427"/>
      <c r="F427"/>
      <c r="G427"/>
    </row>
    <row r="428" spans="1:7" ht="14.4" x14ac:dyDescent="0.25">
      <c r="A428"/>
      <c r="B428"/>
      <c r="C428"/>
      <c r="D428"/>
      <c r="E428"/>
      <c r="F428"/>
      <c r="G428"/>
    </row>
    <row r="429" spans="1:7" ht="14.4" x14ac:dyDescent="0.25">
      <c r="A429"/>
      <c r="B429"/>
      <c r="C429"/>
      <c r="D429"/>
      <c r="E429"/>
      <c r="F429"/>
      <c r="G429"/>
    </row>
    <row r="430" spans="1:7" ht="14.4" x14ac:dyDescent="0.25">
      <c r="A430"/>
      <c r="B430"/>
      <c r="C430"/>
      <c r="D430"/>
      <c r="E430"/>
      <c r="F430"/>
      <c r="G430"/>
    </row>
    <row r="431" spans="1:7" ht="14.4" x14ac:dyDescent="0.25">
      <c r="A431"/>
      <c r="B431"/>
      <c r="C431"/>
      <c r="D431"/>
      <c r="E431"/>
      <c r="F431"/>
      <c r="G431"/>
    </row>
    <row r="432" spans="1:7" ht="14.4" x14ac:dyDescent="0.25">
      <c r="A432"/>
      <c r="B432"/>
      <c r="C432"/>
      <c r="D432"/>
      <c r="E432"/>
      <c r="F432"/>
      <c r="G432"/>
    </row>
    <row r="433" spans="1:7" ht="14.4" x14ac:dyDescent="0.25">
      <c r="A433"/>
      <c r="B433"/>
      <c r="C433"/>
      <c r="D433"/>
      <c r="E433"/>
      <c r="F433"/>
      <c r="G433"/>
    </row>
    <row r="434" spans="1:7" ht="14.4" x14ac:dyDescent="0.25">
      <c r="A434"/>
      <c r="B434"/>
      <c r="C434"/>
      <c r="D434"/>
      <c r="E434"/>
      <c r="F434"/>
      <c r="G434"/>
    </row>
    <row r="435" spans="1:7" ht="14.4" x14ac:dyDescent="0.25">
      <c r="A435"/>
      <c r="B435"/>
      <c r="C435"/>
      <c r="D435"/>
      <c r="E435"/>
      <c r="F435"/>
      <c r="G435"/>
    </row>
    <row r="436" spans="1:7" ht="14.4" x14ac:dyDescent="0.25">
      <c r="A436"/>
      <c r="B436"/>
      <c r="C436"/>
      <c r="D436"/>
      <c r="E436"/>
      <c r="F436"/>
      <c r="G436"/>
    </row>
    <row r="437" spans="1:7" ht="14.4" x14ac:dyDescent="0.25">
      <c r="A437"/>
      <c r="B437"/>
      <c r="C437"/>
      <c r="D437"/>
      <c r="E437"/>
      <c r="F437"/>
      <c r="G437"/>
    </row>
    <row r="438" spans="1:7" ht="14.4" x14ac:dyDescent="0.25">
      <c r="A438"/>
      <c r="B438"/>
      <c r="C438"/>
      <c r="D438"/>
      <c r="E438"/>
      <c r="F438"/>
      <c r="G438"/>
    </row>
    <row r="439" spans="1:7" ht="14.4" x14ac:dyDescent="0.25">
      <c r="A439"/>
      <c r="B439"/>
      <c r="C439"/>
      <c r="D439"/>
      <c r="E439"/>
      <c r="F439"/>
      <c r="G439"/>
    </row>
    <row r="440" spans="1:7" ht="14.4" x14ac:dyDescent="0.25">
      <c r="A440"/>
      <c r="B440"/>
      <c r="C440"/>
      <c r="D440"/>
      <c r="E440"/>
      <c r="F440"/>
      <c r="G440"/>
    </row>
    <row r="441" spans="1:7" ht="14.4" x14ac:dyDescent="0.25">
      <c r="A441"/>
      <c r="B441"/>
      <c r="C441"/>
      <c r="D441"/>
      <c r="E441"/>
      <c r="F441"/>
      <c r="G441"/>
    </row>
    <row r="442" spans="1:7" ht="14.4" x14ac:dyDescent="0.25">
      <c r="A442"/>
      <c r="B442"/>
      <c r="C442"/>
      <c r="D442"/>
      <c r="E442"/>
      <c r="F442"/>
      <c r="G442"/>
    </row>
    <row r="443" spans="1:7" ht="14.4" x14ac:dyDescent="0.25">
      <c r="A443"/>
      <c r="B443"/>
      <c r="C443"/>
      <c r="D443"/>
      <c r="E443"/>
      <c r="F443"/>
      <c r="G443"/>
    </row>
    <row r="444" spans="1:7" ht="14.4" x14ac:dyDescent="0.25">
      <c r="A444"/>
      <c r="B444"/>
      <c r="C444"/>
      <c r="D444"/>
      <c r="E444"/>
      <c r="F444"/>
      <c r="G444"/>
    </row>
    <row r="445" spans="1:7" ht="14.4" x14ac:dyDescent="0.25">
      <c r="A445"/>
      <c r="B445"/>
      <c r="C445"/>
      <c r="D445"/>
      <c r="E445"/>
      <c r="F445"/>
      <c r="G445"/>
    </row>
    <row r="446" spans="1:7" ht="14.4" x14ac:dyDescent="0.25">
      <c r="A446"/>
      <c r="B446"/>
      <c r="C446"/>
      <c r="D446"/>
      <c r="E446"/>
      <c r="F446"/>
      <c r="G446"/>
    </row>
    <row r="447" spans="1:7" ht="14.4" x14ac:dyDescent="0.25">
      <c r="A447"/>
      <c r="B447"/>
      <c r="C447"/>
      <c r="D447"/>
      <c r="E447"/>
      <c r="F447"/>
      <c r="G447"/>
    </row>
    <row r="448" spans="1:7" ht="14.4" x14ac:dyDescent="0.25">
      <c r="A448"/>
      <c r="B448"/>
      <c r="C448"/>
      <c r="D448"/>
      <c r="E448"/>
      <c r="F448"/>
      <c r="G448"/>
    </row>
    <row r="449" spans="1:7" ht="14.4" x14ac:dyDescent="0.25">
      <c r="A449"/>
      <c r="B449"/>
      <c r="C449"/>
      <c r="D449"/>
      <c r="E449"/>
      <c r="F449"/>
      <c r="G449"/>
    </row>
    <row r="450" spans="1:7" ht="14.4" x14ac:dyDescent="0.25">
      <c r="A450"/>
      <c r="B450"/>
      <c r="C450"/>
      <c r="D450"/>
      <c r="E450"/>
      <c r="F450"/>
      <c r="G450"/>
    </row>
    <row r="451" spans="1:7" ht="14.4" x14ac:dyDescent="0.25">
      <c r="A451"/>
      <c r="B451"/>
      <c r="C451"/>
      <c r="D451"/>
      <c r="E451"/>
      <c r="F451"/>
      <c r="G451"/>
    </row>
    <row r="452" spans="1:7" ht="14.4" x14ac:dyDescent="0.25">
      <c r="A452"/>
      <c r="B452"/>
      <c r="C452"/>
      <c r="D452"/>
      <c r="E452"/>
      <c r="F452"/>
      <c r="G452"/>
    </row>
    <row r="453" spans="1:7" ht="14.4" x14ac:dyDescent="0.25">
      <c r="A453"/>
      <c r="B453"/>
      <c r="C453"/>
      <c r="D453"/>
      <c r="E453"/>
      <c r="F453"/>
      <c r="G453"/>
    </row>
    <row r="454" spans="1:7" ht="14.4" x14ac:dyDescent="0.25">
      <c r="A454"/>
      <c r="B454"/>
      <c r="C454"/>
      <c r="D454"/>
      <c r="E454"/>
      <c r="F454"/>
      <c r="G454"/>
    </row>
    <row r="455" spans="1:7" ht="14.4" x14ac:dyDescent="0.25">
      <c r="A455"/>
      <c r="B455"/>
      <c r="C455"/>
      <c r="D455"/>
      <c r="E455"/>
      <c r="F455"/>
      <c r="G455"/>
    </row>
    <row r="456" spans="1:7" ht="14.4" x14ac:dyDescent="0.25">
      <c r="A456"/>
      <c r="B456"/>
      <c r="C456"/>
      <c r="D456"/>
      <c r="E456"/>
      <c r="F456"/>
      <c r="G456"/>
    </row>
    <row r="457" spans="1:7" ht="14.4" x14ac:dyDescent="0.25">
      <c r="A457"/>
      <c r="B457"/>
      <c r="C457"/>
      <c r="D457"/>
      <c r="E457"/>
      <c r="F457"/>
      <c r="G457"/>
    </row>
    <row r="458" spans="1:7" ht="14.4" x14ac:dyDescent="0.25">
      <c r="A458"/>
      <c r="B458"/>
      <c r="C458"/>
      <c r="D458"/>
      <c r="E458"/>
      <c r="F458"/>
      <c r="G458"/>
    </row>
    <row r="459" spans="1:7" ht="14.4" x14ac:dyDescent="0.25">
      <c r="A459"/>
      <c r="B459"/>
      <c r="C459"/>
      <c r="D459"/>
      <c r="E459"/>
      <c r="F459"/>
      <c r="G459"/>
    </row>
    <row r="460" spans="1:7" ht="14.4" x14ac:dyDescent="0.25">
      <c r="A460"/>
      <c r="B460"/>
      <c r="C460"/>
      <c r="D460"/>
      <c r="E460"/>
      <c r="F460"/>
      <c r="G460"/>
    </row>
    <row r="461" spans="1:7" ht="14.4" x14ac:dyDescent="0.25">
      <c r="A461"/>
      <c r="B461"/>
      <c r="C461"/>
      <c r="D461"/>
      <c r="E461"/>
      <c r="F461"/>
      <c r="G461"/>
    </row>
    <row r="462" spans="1:7" ht="14.4" x14ac:dyDescent="0.25">
      <c r="A462"/>
      <c r="B462"/>
      <c r="C462"/>
      <c r="D462"/>
      <c r="E462"/>
      <c r="F462"/>
      <c r="G462"/>
    </row>
    <row r="463" spans="1:7" ht="14.4" x14ac:dyDescent="0.25">
      <c r="A463"/>
      <c r="B463"/>
      <c r="C463"/>
      <c r="D463"/>
      <c r="E463"/>
      <c r="F463"/>
      <c r="G463"/>
    </row>
    <row r="464" spans="1:7" ht="14.4" x14ac:dyDescent="0.25">
      <c r="A464"/>
      <c r="B464"/>
      <c r="C464"/>
      <c r="D464"/>
      <c r="E464"/>
      <c r="F464"/>
      <c r="G464"/>
    </row>
    <row r="465" spans="1:7" ht="14.4" x14ac:dyDescent="0.25">
      <c r="A465"/>
      <c r="B465"/>
      <c r="C465"/>
      <c r="D465"/>
      <c r="E465"/>
      <c r="F465"/>
      <c r="G465"/>
    </row>
    <row r="466" spans="1:7" ht="14.4" x14ac:dyDescent="0.25">
      <c r="A466"/>
      <c r="B466"/>
      <c r="C466"/>
      <c r="D466"/>
      <c r="E466"/>
      <c r="F466"/>
      <c r="G466"/>
    </row>
    <row r="467" spans="1:7" ht="14.4" x14ac:dyDescent="0.25">
      <c r="A467"/>
      <c r="B467"/>
      <c r="C467"/>
      <c r="D467"/>
      <c r="E467"/>
      <c r="F467"/>
      <c r="G467"/>
    </row>
    <row r="468" spans="1:7" ht="14.4" x14ac:dyDescent="0.25">
      <c r="A468"/>
      <c r="B468"/>
      <c r="C468"/>
      <c r="D468"/>
      <c r="E468"/>
      <c r="F468"/>
      <c r="G468"/>
    </row>
    <row r="469" spans="1:7" ht="14.4" x14ac:dyDescent="0.25">
      <c r="A469"/>
      <c r="B469"/>
      <c r="C469"/>
      <c r="D469"/>
      <c r="E469"/>
      <c r="F469"/>
      <c r="G469"/>
    </row>
    <row r="470" spans="1:7" ht="14.4" x14ac:dyDescent="0.25">
      <c r="A470"/>
      <c r="B470"/>
      <c r="C470"/>
      <c r="D470"/>
      <c r="E470"/>
      <c r="F470"/>
      <c r="G470"/>
    </row>
    <row r="471" spans="1:7" ht="14.4" x14ac:dyDescent="0.25">
      <c r="A471"/>
      <c r="B471"/>
      <c r="C471"/>
      <c r="D471"/>
      <c r="E471"/>
      <c r="F471"/>
      <c r="G471"/>
    </row>
    <row r="472" spans="1:7" ht="14.4" x14ac:dyDescent="0.25">
      <c r="A472"/>
      <c r="B472"/>
      <c r="C472"/>
      <c r="D472"/>
      <c r="E472"/>
      <c r="F472"/>
      <c r="G472"/>
    </row>
    <row r="473" spans="1:7" ht="14.4" x14ac:dyDescent="0.25">
      <c r="A473"/>
      <c r="B473"/>
      <c r="C473"/>
      <c r="D473"/>
      <c r="E473"/>
      <c r="F473"/>
      <c r="G473"/>
    </row>
    <row r="474" spans="1:7" ht="14.4" x14ac:dyDescent="0.25">
      <c r="A474"/>
      <c r="B474"/>
      <c r="C474"/>
      <c r="D474"/>
      <c r="E474"/>
      <c r="F474"/>
      <c r="G474"/>
    </row>
    <row r="475" spans="1:7" ht="14.4" x14ac:dyDescent="0.25">
      <c r="A475"/>
      <c r="B475"/>
      <c r="C475"/>
      <c r="D475"/>
      <c r="E475"/>
      <c r="F475"/>
      <c r="G475"/>
    </row>
    <row r="476" spans="1:7" ht="14.4" x14ac:dyDescent="0.25">
      <c r="A476"/>
      <c r="B476"/>
      <c r="C476"/>
      <c r="D476"/>
      <c r="E476"/>
      <c r="F476"/>
      <c r="G476"/>
    </row>
    <row r="477" spans="1:7" ht="14.4" x14ac:dyDescent="0.25">
      <c r="A477"/>
      <c r="B477"/>
      <c r="C477"/>
      <c r="D477"/>
      <c r="E477"/>
      <c r="F477"/>
      <c r="G477"/>
    </row>
    <row r="478" spans="1:7" ht="14.4" x14ac:dyDescent="0.25">
      <c r="A478"/>
      <c r="B478"/>
      <c r="C478"/>
      <c r="D478"/>
      <c r="E478"/>
      <c r="F478"/>
      <c r="G478"/>
    </row>
    <row r="479" spans="1:7" ht="14.4" x14ac:dyDescent="0.25">
      <c r="A479"/>
      <c r="B479"/>
      <c r="C479"/>
      <c r="D479"/>
      <c r="E479"/>
      <c r="F479"/>
      <c r="G479"/>
    </row>
    <row r="480" spans="1:7" ht="14.4" x14ac:dyDescent="0.25">
      <c r="A480"/>
      <c r="B480"/>
      <c r="C480"/>
      <c r="D480"/>
      <c r="E480"/>
      <c r="F480"/>
      <c r="G480"/>
    </row>
    <row r="481" spans="1:7" ht="14.4" x14ac:dyDescent="0.25">
      <c r="A481"/>
      <c r="B481"/>
      <c r="C481"/>
      <c r="D481"/>
      <c r="E481"/>
      <c r="F481"/>
      <c r="G481"/>
    </row>
    <row r="482" spans="1:7" ht="14.4" x14ac:dyDescent="0.25">
      <c r="A482"/>
      <c r="B482"/>
      <c r="C482"/>
      <c r="D482"/>
      <c r="E482"/>
      <c r="F482"/>
      <c r="G482"/>
    </row>
    <row r="483" spans="1:7" ht="14.4" x14ac:dyDescent="0.25">
      <c r="A483"/>
      <c r="B483"/>
      <c r="C483"/>
      <c r="D483"/>
      <c r="E483"/>
      <c r="F483"/>
      <c r="G483"/>
    </row>
    <row r="484" spans="1:7" ht="14.4" x14ac:dyDescent="0.25">
      <c r="A484"/>
      <c r="B484"/>
      <c r="C484"/>
      <c r="D484"/>
      <c r="E484"/>
      <c r="F484"/>
      <c r="G484"/>
    </row>
    <row r="485" spans="1:7" ht="14.4" x14ac:dyDescent="0.25">
      <c r="A485"/>
      <c r="B485"/>
      <c r="C485"/>
      <c r="D485"/>
      <c r="E485"/>
      <c r="F485"/>
      <c r="G485"/>
    </row>
    <row r="486" spans="1:7" ht="14.4" x14ac:dyDescent="0.25">
      <c r="A486"/>
      <c r="B486"/>
      <c r="C486"/>
      <c r="D486"/>
      <c r="E486"/>
      <c r="F486"/>
      <c r="G486"/>
    </row>
    <row r="487" spans="1:7" ht="14.4" x14ac:dyDescent="0.25">
      <c r="A487"/>
      <c r="B487"/>
      <c r="C487"/>
      <c r="D487"/>
      <c r="E487"/>
      <c r="F487"/>
      <c r="G487"/>
    </row>
    <row r="488" spans="1:7" ht="14.4" x14ac:dyDescent="0.25">
      <c r="A488"/>
      <c r="B488"/>
      <c r="C488"/>
      <c r="D488"/>
      <c r="E488"/>
      <c r="F488"/>
      <c r="G488"/>
    </row>
    <row r="489" spans="1:7" ht="14.4" x14ac:dyDescent="0.25">
      <c r="A489"/>
      <c r="B489"/>
      <c r="C489"/>
      <c r="D489"/>
      <c r="E489"/>
      <c r="F489"/>
      <c r="G489"/>
    </row>
    <row r="490" spans="1:7" ht="14.4" x14ac:dyDescent="0.25">
      <c r="A490"/>
      <c r="B490"/>
      <c r="C490"/>
      <c r="D490"/>
      <c r="E490"/>
      <c r="F490"/>
      <c r="G490"/>
    </row>
    <row r="491" spans="1:7" ht="14.4" x14ac:dyDescent="0.25">
      <c r="A491"/>
      <c r="B491"/>
      <c r="C491"/>
      <c r="D491"/>
      <c r="E491"/>
      <c r="F491"/>
      <c r="G491"/>
    </row>
    <row r="492" spans="1:7" ht="14.4" x14ac:dyDescent="0.25">
      <c r="A492"/>
      <c r="B492"/>
      <c r="C492"/>
      <c r="D492"/>
      <c r="E492"/>
      <c r="F492"/>
      <c r="G492"/>
    </row>
    <row r="493" spans="1:7" ht="14.4" x14ac:dyDescent="0.25">
      <c r="A493"/>
      <c r="B493"/>
      <c r="C493"/>
      <c r="D493"/>
      <c r="E493"/>
      <c r="F493"/>
      <c r="G493"/>
    </row>
    <row r="494" spans="1:7" ht="14.4" x14ac:dyDescent="0.25">
      <c r="A494"/>
      <c r="B494"/>
      <c r="C494"/>
      <c r="D494"/>
      <c r="E494"/>
      <c r="F494"/>
      <c r="G494"/>
    </row>
    <row r="495" spans="1:7" ht="14.4" x14ac:dyDescent="0.25">
      <c r="A495"/>
      <c r="B495"/>
      <c r="C495"/>
      <c r="D495"/>
      <c r="E495"/>
      <c r="F495"/>
      <c r="G495"/>
    </row>
    <row r="496" spans="1:7" ht="14.4" x14ac:dyDescent="0.25">
      <c r="A496"/>
      <c r="B496"/>
      <c r="C496"/>
      <c r="D496"/>
      <c r="E496"/>
      <c r="F496"/>
      <c r="G496"/>
    </row>
    <row r="497" spans="1:7" ht="14.4" x14ac:dyDescent="0.25">
      <c r="A497"/>
      <c r="B497"/>
      <c r="C497"/>
      <c r="D497"/>
      <c r="E497"/>
      <c r="F497"/>
      <c r="G497"/>
    </row>
    <row r="498" spans="1:7" ht="14.4" x14ac:dyDescent="0.25">
      <c r="A498"/>
      <c r="B498"/>
      <c r="C498"/>
      <c r="D498"/>
      <c r="E498"/>
      <c r="F498"/>
      <c r="G498"/>
    </row>
    <row r="499" spans="1:7" ht="14.4" x14ac:dyDescent="0.25">
      <c r="A499"/>
      <c r="B499"/>
      <c r="C499"/>
      <c r="D499"/>
      <c r="E499"/>
      <c r="F499"/>
      <c r="G499"/>
    </row>
    <row r="500" spans="1:7" ht="14.4" x14ac:dyDescent="0.25">
      <c r="A500"/>
      <c r="B500"/>
      <c r="C500"/>
      <c r="D500"/>
      <c r="E500"/>
      <c r="F500"/>
      <c r="G500"/>
    </row>
    <row r="501" spans="1:7" ht="14.4" x14ac:dyDescent="0.25">
      <c r="A501"/>
      <c r="B501"/>
      <c r="C501"/>
      <c r="D501"/>
      <c r="E501"/>
      <c r="F501"/>
      <c r="G501"/>
    </row>
    <row r="502" spans="1:7" ht="14.4" x14ac:dyDescent="0.25">
      <c r="A502"/>
      <c r="B502"/>
      <c r="C502"/>
      <c r="D502"/>
      <c r="E502"/>
      <c r="F502"/>
      <c r="G502"/>
    </row>
    <row r="503" spans="1:7" ht="14.4" x14ac:dyDescent="0.25">
      <c r="A503"/>
      <c r="B503"/>
      <c r="C503"/>
      <c r="D503"/>
      <c r="E503"/>
      <c r="F503"/>
      <c r="G503"/>
    </row>
    <row r="504" spans="1:7" ht="14.4" x14ac:dyDescent="0.25">
      <c r="A504"/>
      <c r="B504"/>
      <c r="C504"/>
      <c r="D504"/>
      <c r="E504"/>
      <c r="F504"/>
      <c r="G504"/>
    </row>
    <row r="505" spans="1:7" ht="14.4" x14ac:dyDescent="0.25">
      <c r="A505"/>
      <c r="B505"/>
      <c r="C505"/>
      <c r="D505"/>
      <c r="E505"/>
      <c r="F505"/>
      <c r="G505"/>
    </row>
    <row r="506" spans="1:7" ht="14.4" x14ac:dyDescent="0.25">
      <c r="A506"/>
      <c r="B506"/>
      <c r="C506"/>
      <c r="D506"/>
      <c r="E506"/>
      <c r="F506"/>
      <c r="G506"/>
    </row>
    <row r="507" spans="1:7" ht="14.4" x14ac:dyDescent="0.25">
      <c r="A507"/>
      <c r="B507"/>
      <c r="C507"/>
      <c r="D507"/>
      <c r="E507"/>
      <c r="F507"/>
      <c r="G507"/>
    </row>
    <row r="508" spans="1:7" ht="14.4" x14ac:dyDescent="0.25">
      <c r="A508"/>
      <c r="B508"/>
      <c r="C508"/>
      <c r="D508"/>
      <c r="E508"/>
      <c r="F508"/>
      <c r="G508"/>
    </row>
    <row r="509" spans="1:7" ht="14.4" x14ac:dyDescent="0.25">
      <c r="A509"/>
      <c r="B509"/>
      <c r="C509"/>
      <c r="D509"/>
      <c r="E509"/>
      <c r="F509"/>
      <c r="G509"/>
    </row>
    <row r="510" spans="1:7" ht="14.4" x14ac:dyDescent="0.25">
      <c r="A510"/>
      <c r="B510"/>
      <c r="C510"/>
      <c r="D510"/>
      <c r="E510"/>
      <c r="F510"/>
      <c r="G510"/>
    </row>
    <row r="511" spans="1:7" ht="14.4" x14ac:dyDescent="0.25">
      <c r="A511"/>
      <c r="B511"/>
      <c r="C511"/>
      <c r="D511"/>
      <c r="E511"/>
      <c r="F511"/>
      <c r="G511"/>
    </row>
    <row r="512" spans="1:7" ht="14.4" x14ac:dyDescent="0.25">
      <c r="A512"/>
      <c r="B512"/>
      <c r="C512"/>
      <c r="D512"/>
      <c r="E512"/>
      <c r="F512"/>
      <c r="G512"/>
    </row>
    <row r="513" spans="1:7" ht="14.4" x14ac:dyDescent="0.25">
      <c r="A513"/>
      <c r="B513"/>
      <c r="C513"/>
      <c r="D513"/>
      <c r="E513"/>
      <c r="F513"/>
      <c r="G513"/>
    </row>
    <row r="514" spans="1:7" ht="14.4" x14ac:dyDescent="0.25">
      <c r="A514"/>
      <c r="B514"/>
      <c r="C514"/>
      <c r="D514"/>
      <c r="E514"/>
      <c r="F514"/>
      <c r="G514"/>
    </row>
    <row r="515" spans="1:7" ht="14.4" x14ac:dyDescent="0.25">
      <c r="A515"/>
      <c r="B515"/>
      <c r="C515"/>
      <c r="D515"/>
      <c r="E515"/>
      <c r="F515"/>
      <c r="G515"/>
    </row>
    <row r="516" spans="1:7" ht="14.4" x14ac:dyDescent="0.25">
      <c r="A516"/>
      <c r="B516"/>
      <c r="C516"/>
      <c r="D516"/>
      <c r="E516"/>
      <c r="F516"/>
      <c r="G516"/>
    </row>
    <row r="517" spans="1:7" ht="14.4" x14ac:dyDescent="0.25">
      <c r="A517"/>
      <c r="B517"/>
      <c r="C517"/>
      <c r="D517"/>
      <c r="E517"/>
      <c r="F517"/>
      <c r="G517"/>
    </row>
    <row r="518" spans="1:7" ht="14.4" x14ac:dyDescent="0.25">
      <c r="A518"/>
      <c r="B518"/>
      <c r="C518"/>
      <c r="D518"/>
      <c r="E518"/>
      <c r="F518"/>
      <c r="G518"/>
    </row>
    <row r="519" spans="1:7" ht="14.4" x14ac:dyDescent="0.25">
      <c r="A519"/>
      <c r="B519"/>
      <c r="C519"/>
      <c r="D519"/>
      <c r="E519"/>
      <c r="F519"/>
      <c r="G519"/>
    </row>
    <row r="520" spans="1:7" ht="14.4" x14ac:dyDescent="0.25">
      <c r="A520"/>
      <c r="B520"/>
      <c r="C520"/>
      <c r="D520"/>
      <c r="E520"/>
      <c r="F520"/>
      <c r="G520"/>
    </row>
    <row r="521" spans="1:7" ht="14.4" x14ac:dyDescent="0.25">
      <c r="A521"/>
      <c r="B521"/>
      <c r="C521"/>
      <c r="D521"/>
      <c r="E521"/>
      <c r="F521"/>
      <c r="G521"/>
    </row>
    <row r="522" spans="1:7" ht="14.4" x14ac:dyDescent="0.25">
      <c r="A522"/>
      <c r="B522"/>
      <c r="C522"/>
      <c r="D522"/>
      <c r="E522"/>
      <c r="F522"/>
      <c r="G522"/>
    </row>
    <row r="523" spans="1:7" ht="14.4" x14ac:dyDescent="0.25">
      <c r="A523"/>
      <c r="B523"/>
      <c r="C523"/>
      <c r="D523"/>
      <c r="E523"/>
      <c r="F523"/>
      <c r="G523"/>
    </row>
    <row r="524" spans="1:7" ht="14.4" x14ac:dyDescent="0.25">
      <c r="A524"/>
      <c r="B524"/>
      <c r="C524"/>
      <c r="D524"/>
      <c r="E524"/>
      <c r="F524"/>
      <c r="G524"/>
    </row>
    <row r="525" spans="1:7" ht="14.4" x14ac:dyDescent="0.25">
      <c r="A525"/>
      <c r="B525"/>
      <c r="C525"/>
      <c r="D525"/>
      <c r="E525"/>
      <c r="F525"/>
      <c r="G525"/>
    </row>
    <row r="526" spans="1:7" ht="14.4" x14ac:dyDescent="0.25">
      <c r="A526"/>
      <c r="B526"/>
      <c r="C526"/>
      <c r="D526"/>
      <c r="E526"/>
      <c r="F526"/>
      <c r="G526"/>
    </row>
    <row r="527" spans="1:7" ht="14.4" x14ac:dyDescent="0.25">
      <c r="A527"/>
      <c r="B527"/>
      <c r="C527"/>
      <c r="D527"/>
      <c r="E527"/>
      <c r="F527"/>
      <c r="G527"/>
    </row>
    <row r="528" spans="1:7" ht="14.4" x14ac:dyDescent="0.25">
      <c r="A528"/>
      <c r="B528"/>
      <c r="C528"/>
      <c r="D528"/>
      <c r="E528"/>
      <c r="F528"/>
      <c r="G528"/>
    </row>
    <row r="529" spans="1:7" ht="14.4" x14ac:dyDescent="0.25">
      <c r="A529"/>
      <c r="B529"/>
      <c r="C529"/>
      <c r="D529"/>
      <c r="E529"/>
      <c r="F529"/>
      <c r="G529"/>
    </row>
    <row r="530" spans="1:7" ht="14.4" x14ac:dyDescent="0.25">
      <c r="A530"/>
      <c r="B530"/>
      <c r="C530"/>
      <c r="D530"/>
      <c r="E530"/>
      <c r="F530"/>
      <c r="G530"/>
    </row>
    <row r="531" spans="1:7" ht="14.4" x14ac:dyDescent="0.25">
      <c r="A531"/>
      <c r="B531"/>
      <c r="C531"/>
      <c r="D531"/>
      <c r="E531"/>
      <c r="F531"/>
      <c r="G531"/>
    </row>
    <row r="532" spans="1:7" ht="14.4" x14ac:dyDescent="0.25">
      <c r="A532"/>
      <c r="B532"/>
      <c r="C532"/>
      <c r="D532"/>
      <c r="E532"/>
      <c r="F532"/>
      <c r="G532"/>
    </row>
    <row r="533" spans="1:7" ht="14.4" x14ac:dyDescent="0.25">
      <c r="A533"/>
      <c r="B533"/>
      <c r="C533"/>
      <c r="D533"/>
      <c r="E533"/>
      <c r="F533"/>
      <c r="G533"/>
    </row>
    <row r="534" spans="1:7" ht="14.4" x14ac:dyDescent="0.25">
      <c r="A534"/>
      <c r="B534"/>
      <c r="C534"/>
      <c r="D534"/>
      <c r="E534"/>
      <c r="F534"/>
      <c r="G534"/>
    </row>
    <row r="535" spans="1:7" ht="14.4" x14ac:dyDescent="0.25">
      <c r="A535"/>
      <c r="B535"/>
      <c r="C535"/>
      <c r="D535"/>
      <c r="E535"/>
      <c r="F535"/>
      <c r="G535"/>
    </row>
    <row r="536" spans="1:7" ht="14.4" x14ac:dyDescent="0.25">
      <c r="A536"/>
      <c r="B536"/>
      <c r="C536"/>
      <c r="D536"/>
      <c r="E536"/>
      <c r="F536"/>
      <c r="G536"/>
    </row>
    <row r="537" spans="1:7" ht="14.4" x14ac:dyDescent="0.25">
      <c r="A537"/>
      <c r="B537"/>
      <c r="C537"/>
      <c r="D537"/>
      <c r="E537"/>
      <c r="F537"/>
      <c r="G537"/>
    </row>
    <row r="538" spans="1:7" ht="14.4" x14ac:dyDescent="0.25">
      <c r="A538"/>
      <c r="B538"/>
      <c r="C538"/>
      <c r="D538"/>
      <c r="E538"/>
      <c r="F538"/>
      <c r="G538"/>
    </row>
    <row r="539" spans="1:7" ht="14.4" x14ac:dyDescent="0.25">
      <c r="A539"/>
      <c r="B539"/>
      <c r="C539"/>
      <c r="D539"/>
      <c r="E539"/>
      <c r="F539"/>
      <c r="G539"/>
    </row>
    <row r="540" spans="1:7" ht="14.4" x14ac:dyDescent="0.25">
      <c r="A540"/>
      <c r="B540"/>
      <c r="C540"/>
      <c r="D540"/>
      <c r="E540"/>
      <c r="F540"/>
      <c r="G540"/>
    </row>
    <row r="541" spans="1:7" ht="14.4" x14ac:dyDescent="0.25">
      <c r="A541"/>
      <c r="B541"/>
      <c r="C541"/>
      <c r="D541"/>
      <c r="E541"/>
      <c r="F541"/>
      <c r="G541"/>
    </row>
    <row r="542" spans="1:7" ht="14.4" x14ac:dyDescent="0.25">
      <c r="A542"/>
      <c r="B542"/>
      <c r="C542"/>
      <c r="D542"/>
      <c r="E542"/>
      <c r="F542"/>
      <c r="G542"/>
    </row>
    <row r="543" spans="1:7" ht="14.4" x14ac:dyDescent="0.25">
      <c r="A543"/>
      <c r="B543"/>
      <c r="C543"/>
      <c r="D543"/>
      <c r="E543"/>
      <c r="F543"/>
      <c r="G543"/>
    </row>
    <row r="544" spans="1:7" ht="14.4" x14ac:dyDescent="0.25">
      <c r="A544"/>
      <c r="B544"/>
      <c r="C544"/>
      <c r="D544"/>
      <c r="E544"/>
      <c r="F544"/>
      <c r="G544"/>
    </row>
    <row r="545" spans="1:7" ht="14.4" x14ac:dyDescent="0.25">
      <c r="A545"/>
      <c r="B545"/>
      <c r="C545"/>
      <c r="D545"/>
      <c r="E545"/>
      <c r="F545"/>
      <c r="G545"/>
    </row>
    <row r="546" spans="1:7" ht="14.4" x14ac:dyDescent="0.25">
      <c r="A546"/>
      <c r="B546"/>
      <c r="C546"/>
      <c r="D546"/>
      <c r="E546"/>
      <c r="F546"/>
      <c r="G546"/>
    </row>
    <row r="547" spans="1:7" ht="14.4" x14ac:dyDescent="0.25">
      <c r="A547"/>
      <c r="B547"/>
      <c r="C547"/>
      <c r="D547"/>
      <c r="E547"/>
      <c r="F547"/>
      <c r="G547"/>
    </row>
    <row r="548" spans="1:7" ht="14.4" x14ac:dyDescent="0.25">
      <c r="A548"/>
      <c r="B548"/>
      <c r="C548"/>
      <c r="D548"/>
      <c r="E548"/>
      <c r="F548"/>
      <c r="G548"/>
    </row>
    <row r="549" spans="1:7" ht="14.4" x14ac:dyDescent="0.25">
      <c r="A549"/>
      <c r="B549"/>
      <c r="C549"/>
      <c r="D549"/>
      <c r="E549"/>
      <c r="F549"/>
      <c r="G549"/>
    </row>
    <row r="550" spans="1:7" ht="14.4" x14ac:dyDescent="0.25">
      <c r="A550"/>
      <c r="B550"/>
      <c r="C550"/>
      <c r="D550"/>
      <c r="E550"/>
      <c r="F550"/>
      <c r="G550"/>
    </row>
    <row r="551" spans="1:7" ht="14.4" x14ac:dyDescent="0.25">
      <c r="A551"/>
      <c r="B551"/>
      <c r="C551"/>
      <c r="D551"/>
      <c r="E551"/>
      <c r="F551"/>
      <c r="G551"/>
    </row>
    <row r="552" spans="1:7" ht="14.4" x14ac:dyDescent="0.25">
      <c r="A552"/>
      <c r="B552"/>
      <c r="C552"/>
      <c r="D552"/>
      <c r="E552"/>
      <c r="F552"/>
      <c r="G552"/>
    </row>
    <row r="553" spans="1:7" ht="14.4" x14ac:dyDescent="0.25">
      <c r="A553"/>
      <c r="B553"/>
      <c r="C553"/>
      <c r="D553"/>
      <c r="E553"/>
      <c r="F553"/>
      <c r="G553"/>
    </row>
    <row r="554" spans="1:7" ht="14.4" x14ac:dyDescent="0.25">
      <c r="A554"/>
      <c r="B554"/>
      <c r="C554"/>
      <c r="D554"/>
      <c r="E554"/>
      <c r="F554"/>
      <c r="G554"/>
    </row>
    <row r="555" spans="1:7" ht="14.4" x14ac:dyDescent="0.25">
      <c r="A555"/>
      <c r="B555"/>
      <c r="C555"/>
      <c r="D555"/>
      <c r="E555"/>
      <c r="F555"/>
      <c r="G555"/>
    </row>
    <row r="556" spans="1:7" ht="14.4" x14ac:dyDescent="0.25">
      <c r="A556"/>
      <c r="B556"/>
      <c r="C556"/>
      <c r="D556"/>
      <c r="E556"/>
      <c r="F556"/>
      <c r="G556"/>
    </row>
    <row r="557" spans="1:7" ht="14.4" x14ac:dyDescent="0.25">
      <c r="A557"/>
      <c r="B557"/>
      <c r="C557"/>
      <c r="D557"/>
      <c r="E557"/>
      <c r="F557"/>
      <c r="G557"/>
    </row>
    <row r="558" spans="1:7" ht="14.4" x14ac:dyDescent="0.25">
      <c r="A558"/>
      <c r="B558"/>
      <c r="C558"/>
      <c r="D558"/>
      <c r="E558"/>
      <c r="F558"/>
      <c r="G558"/>
    </row>
    <row r="559" spans="1:7" ht="14.4" x14ac:dyDescent="0.25">
      <c r="A559"/>
      <c r="B559"/>
      <c r="C559"/>
      <c r="D559"/>
      <c r="E559"/>
      <c r="F559"/>
      <c r="G559"/>
    </row>
    <row r="560" spans="1:7" ht="14.4" x14ac:dyDescent="0.25">
      <c r="A560"/>
      <c r="B560"/>
      <c r="C560"/>
      <c r="D560"/>
      <c r="E560"/>
      <c r="F560"/>
      <c r="G560"/>
    </row>
    <row r="561" spans="1:7" ht="14.4" x14ac:dyDescent="0.25">
      <c r="A561"/>
      <c r="B561"/>
      <c r="C561"/>
      <c r="D561"/>
      <c r="E561"/>
      <c r="F561"/>
      <c r="G561"/>
    </row>
    <row r="562" spans="1:7" ht="14.4" x14ac:dyDescent="0.25">
      <c r="A562"/>
      <c r="B562"/>
      <c r="C562"/>
      <c r="D562"/>
      <c r="E562"/>
      <c r="F562"/>
      <c r="G562"/>
    </row>
    <row r="563" spans="1:7" ht="14.4" x14ac:dyDescent="0.25">
      <c r="A563"/>
      <c r="B563"/>
      <c r="C563"/>
      <c r="D563"/>
      <c r="E563"/>
      <c r="F563"/>
      <c r="G563"/>
    </row>
    <row r="564" spans="1:7" ht="14.4" x14ac:dyDescent="0.25">
      <c r="A564"/>
      <c r="B564"/>
      <c r="C564"/>
      <c r="D564"/>
      <c r="E564"/>
      <c r="F564"/>
      <c r="G564"/>
    </row>
    <row r="565" spans="1:7" ht="14.4" x14ac:dyDescent="0.25">
      <c r="A565"/>
      <c r="B565"/>
      <c r="C565"/>
      <c r="D565"/>
      <c r="E565"/>
      <c r="F565"/>
      <c r="G565"/>
    </row>
    <row r="566" spans="1:7" ht="14.4" x14ac:dyDescent="0.25">
      <c r="A566"/>
      <c r="B566"/>
      <c r="C566"/>
      <c r="D566"/>
      <c r="E566"/>
      <c r="F566"/>
      <c r="G566"/>
    </row>
    <row r="567" spans="1:7" ht="14.4" x14ac:dyDescent="0.25">
      <c r="A567"/>
      <c r="B567"/>
      <c r="C567"/>
      <c r="D567"/>
      <c r="E567"/>
      <c r="F567"/>
      <c r="G567"/>
    </row>
    <row r="568" spans="1:7" ht="14.4" x14ac:dyDescent="0.25">
      <c r="A568"/>
      <c r="B568"/>
      <c r="C568"/>
      <c r="D568"/>
      <c r="E568"/>
      <c r="F568"/>
      <c r="G568"/>
    </row>
    <row r="569" spans="1:7" ht="14.4" x14ac:dyDescent="0.25">
      <c r="A569"/>
      <c r="B569"/>
      <c r="C569"/>
      <c r="D569"/>
      <c r="E569"/>
      <c r="F569"/>
      <c r="G569"/>
    </row>
    <row r="570" spans="1:7" ht="14.4" x14ac:dyDescent="0.25">
      <c r="A570"/>
      <c r="B570"/>
      <c r="C570"/>
      <c r="D570"/>
      <c r="E570"/>
      <c r="F570"/>
      <c r="G570"/>
    </row>
    <row r="571" spans="1:7" ht="14.4" x14ac:dyDescent="0.25">
      <c r="A571"/>
      <c r="B571"/>
      <c r="C571"/>
      <c r="D571"/>
      <c r="E571"/>
      <c r="F571"/>
      <c r="G571"/>
    </row>
    <row r="572" spans="1:7" ht="14.4" x14ac:dyDescent="0.25">
      <c r="A572"/>
      <c r="B572"/>
      <c r="C572"/>
      <c r="D572"/>
      <c r="E572"/>
      <c r="F572"/>
      <c r="G572"/>
    </row>
    <row r="573" spans="1:7" ht="14.4" x14ac:dyDescent="0.25">
      <c r="A573"/>
      <c r="B573"/>
      <c r="C573"/>
      <c r="D573"/>
      <c r="E573"/>
      <c r="F573"/>
      <c r="G573"/>
    </row>
    <row r="574" spans="1:7" ht="14.4" x14ac:dyDescent="0.25">
      <c r="A574"/>
      <c r="B574"/>
      <c r="C574"/>
      <c r="D574"/>
      <c r="E574"/>
      <c r="F574"/>
      <c r="G574"/>
    </row>
    <row r="575" spans="1:7" ht="14.4" x14ac:dyDescent="0.25">
      <c r="A575"/>
      <c r="B575"/>
      <c r="C575"/>
      <c r="D575"/>
      <c r="E575"/>
      <c r="F575"/>
      <c r="G575"/>
    </row>
    <row r="576" spans="1:7" ht="14.4" x14ac:dyDescent="0.25">
      <c r="A576"/>
      <c r="B576"/>
      <c r="C576"/>
      <c r="D576"/>
      <c r="E576"/>
      <c r="F576"/>
      <c r="G576"/>
    </row>
    <row r="577" spans="1:7" ht="14.4" x14ac:dyDescent="0.25">
      <c r="A577"/>
      <c r="B577"/>
      <c r="C577"/>
      <c r="D577"/>
      <c r="E577"/>
      <c r="F577"/>
      <c r="G577"/>
    </row>
    <row r="578" spans="1:7" ht="14.4" x14ac:dyDescent="0.25">
      <c r="A578"/>
      <c r="B578"/>
      <c r="C578"/>
      <c r="D578"/>
      <c r="E578"/>
      <c r="F578"/>
      <c r="G578"/>
    </row>
    <row r="579" spans="1:7" ht="14.4" x14ac:dyDescent="0.25">
      <c r="A579"/>
      <c r="B579"/>
      <c r="C579"/>
      <c r="D579"/>
      <c r="E579"/>
      <c r="F579"/>
      <c r="G579"/>
    </row>
    <row r="580" spans="1:7" ht="14.4" x14ac:dyDescent="0.25">
      <c r="A580"/>
      <c r="B580"/>
      <c r="C580"/>
      <c r="D580"/>
      <c r="E580"/>
      <c r="F580"/>
      <c r="G580"/>
    </row>
    <row r="581" spans="1:7" ht="14.4" x14ac:dyDescent="0.25">
      <c r="A581"/>
      <c r="B581"/>
      <c r="C581"/>
      <c r="D581"/>
      <c r="E581"/>
      <c r="F581"/>
      <c r="G581"/>
    </row>
    <row r="582" spans="1:7" ht="14.4" x14ac:dyDescent="0.25">
      <c r="A582"/>
      <c r="B582"/>
      <c r="C582"/>
      <c r="D582"/>
      <c r="E582"/>
      <c r="F582"/>
      <c r="G582"/>
    </row>
    <row r="583" spans="1:7" ht="14.4" x14ac:dyDescent="0.25">
      <c r="A583"/>
      <c r="B583"/>
      <c r="C583"/>
      <c r="D583"/>
      <c r="E583"/>
      <c r="F583"/>
      <c r="G583"/>
    </row>
    <row r="584" spans="1:7" ht="14.4" x14ac:dyDescent="0.25">
      <c r="A584"/>
      <c r="B584"/>
      <c r="C584"/>
      <c r="D584"/>
      <c r="E584"/>
      <c r="F584"/>
      <c r="G584"/>
    </row>
    <row r="585" spans="1:7" ht="14.4" x14ac:dyDescent="0.25">
      <c r="A585"/>
      <c r="B585"/>
      <c r="C585"/>
      <c r="D585"/>
      <c r="E585"/>
      <c r="F585"/>
      <c r="G585"/>
    </row>
    <row r="586" spans="1:7" ht="14.4" x14ac:dyDescent="0.25">
      <c r="A586"/>
      <c r="B586"/>
      <c r="C586"/>
      <c r="D586"/>
      <c r="E586"/>
      <c r="F586"/>
      <c r="G586"/>
    </row>
    <row r="587" spans="1:7" ht="14.4" x14ac:dyDescent="0.25">
      <c r="A587"/>
      <c r="B587"/>
      <c r="C587"/>
      <c r="D587"/>
      <c r="E587"/>
      <c r="F587"/>
      <c r="G587"/>
    </row>
    <row r="588" spans="1:7" ht="14.4" x14ac:dyDescent="0.25">
      <c r="A588"/>
      <c r="B588"/>
      <c r="C588"/>
      <c r="D588"/>
      <c r="E588"/>
      <c r="F588"/>
      <c r="G588"/>
    </row>
    <row r="589" spans="1:7" ht="14.4" x14ac:dyDescent="0.25">
      <c r="A589"/>
      <c r="B589"/>
      <c r="C589"/>
      <c r="D589"/>
      <c r="E589"/>
      <c r="F589"/>
      <c r="G589"/>
    </row>
    <row r="590" spans="1:7" ht="14.4" x14ac:dyDescent="0.25">
      <c r="A590"/>
      <c r="B590"/>
      <c r="C590"/>
      <c r="D590"/>
      <c r="E590"/>
      <c r="F590"/>
      <c r="G590"/>
    </row>
    <row r="591" spans="1:7" ht="14.4" x14ac:dyDescent="0.25">
      <c r="A591"/>
      <c r="B591"/>
      <c r="C591"/>
      <c r="D591"/>
      <c r="E591"/>
      <c r="F591"/>
      <c r="G591"/>
    </row>
    <row r="592" spans="1:7" ht="14.4" x14ac:dyDescent="0.25">
      <c r="A592"/>
      <c r="B592"/>
      <c r="C592"/>
      <c r="D592"/>
      <c r="E592"/>
      <c r="F592"/>
      <c r="G592"/>
    </row>
    <row r="593" spans="1:7" ht="14.4" x14ac:dyDescent="0.25">
      <c r="A593"/>
      <c r="B593"/>
      <c r="C593"/>
      <c r="D593"/>
      <c r="E593"/>
      <c r="F593"/>
      <c r="G593"/>
    </row>
    <row r="594" spans="1:7" ht="14.4" x14ac:dyDescent="0.25">
      <c r="A594"/>
      <c r="B594"/>
      <c r="C594"/>
      <c r="D594"/>
      <c r="E594"/>
      <c r="F594"/>
      <c r="G594"/>
    </row>
    <row r="595" spans="1:7" ht="14.4" x14ac:dyDescent="0.25">
      <c r="A595"/>
      <c r="B595"/>
      <c r="C595"/>
      <c r="D595"/>
      <c r="E595"/>
      <c r="F595"/>
      <c r="G595"/>
    </row>
    <row r="596" spans="1:7" ht="14.4" x14ac:dyDescent="0.25">
      <c r="A596"/>
      <c r="B596"/>
      <c r="C596"/>
      <c r="D596"/>
      <c r="E596"/>
      <c r="F596"/>
      <c r="G596"/>
    </row>
    <row r="597" spans="1:7" ht="14.4" x14ac:dyDescent="0.25">
      <c r="A597"/>
      <c r="B597"/>
      <c r="C597"/>
      <c r="D597"/>
      <c r="E597"/>
      <c r="F597"/>
      <c r="G597"/>
    </row>
    <row r="598" spans="1:7" ht="14.4" x14ac:dyDescent="0.25">
      <c r="A598"/>
      <c r="B598"/>
      <c r="C598"/>
      <c r="D598"/>
      <c r="E598"/>
      <c r="F598"/>
      <c r="G598"/>
    </row>
    <row r="599" spans="1:7" ht="14.4" x14ac:dyDescent="0.25">
      <c r="A599"/>
      <c r="B599"/>
      <c r="C599"/>
      <c r="D599"/>
      <c r="E599"/>
      <c r="F599"/>
      <c r="G599"/>
    </row>
    <row r="600" spans="1:7" ht="14.4" x14ac:dyDescent="0.25">
      <c r="A600"/>
      <c r="B600"/>
      <c r="C600"/>
      <c r="D600"/>
      <c r="E600"/>
      <c r="F600"/>
      <c r="G600"/>
    </row>
  </sheetData>
  <phoneticPr fontId="19" type="noConversion"/>
  <pageMargins left="0.25" right="0.25" top="0.75" bottom="0.75" header="0.30000001192092896" footer="0.30000001192092896"/>
  <pageSetup paperSize="9" scale="81" fitToHeight="0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  <pageSetUpPr fitToPage="1"/>
  </sheetPr>
  <dimension ref="A1:L27"/>
  <sheetViews>
    <sheetView showGridLines="0" tabSelected="1" zoomScale="84" zoomScaleNormal="84" zoomScaleSheetLayoutView="75" workbookViewId="0">
      <pane xSplit="4" ySplit="3" topLeftCell="E4" activePane="bottomRight" state="frozen"/>
      <selection activeCell="G4240" sqref="G4240"/>
      <selection pane="topRight"/>
      <selection pane="bottomLeft"/>
      <selection pane="bottomRight" activeCell="F19" sqref="F19"/>
    </sheetView>
  </sheetViews>
  <sheetFormatPr defaultColWidth="8.8984375" defaultRowHeight="17.399999999999999" x14ac:dyDescent="0.25"/>
  <cols>
    <col min="1" max="1" width="5.09765625" style="2" customWidth="1"/>
    <col min="2" max="2" width="5.59765625" style="2" customWidth="1"/>
    <col min="3" max="3" width="15.69921875" style="2" bestFit="1" customWidth="1"/>
    <col min="4" max="4" width="9.3984375" style="2" bestFit="1" customWidth="1"/>
    <col min="5" max="5" width="19.3984375" style="2" bestFit="1" customWidth="1"/>
    <col min="6" max="6" width="26.8984375" style="5" customWidth="1"/>
    <col min="7" max="7" width="12.296875" style="43" customWidth="1"/>
    <col min="8" max="8" width="13.3984375" style="41" customWidth="1"/>
    <col min="9" max="9" width="12.59765625" style="5" customWidth="1"/>
    <col min="10" max="10" width="24.8984375" style="5" customWidth="1"/>
    <col min="11" max="11" width="8.59765625" style="49" customWidth="1"/>
    <col min="12" max="12" width="13.09765625" style="94" bestFit="1" customWidth="1"/>
    <col min="13" max="13" width="13.09765625" style="2" bestFit="1" customWidth="1"/>
    <col min="14" max="16384" width="8.8984375" style="2"/>
  </cols>
  <sheetData>
    <row r="1" spans="1:12" ht="25.2" x14ac:dyDescent="0.25">
      <c r="A1" s="54" t="s">
        <v>390</v>
      </c>
      <c r="B1" s="54"/>
      <c r="C1" s="54"/>
      <c r="D1" s="54"/>
    </row>
    <row r="2" spans="1:12" ht="15" customHeight="1" x14ac:dyDescent="0.25">
      <c r="I2" s="7"/>
      <c r="J2" s="4" t="s">
        <v>286</v>
      </c>
      <c r="K2" s="51"/>
    </row>
    <row r="3" spans="1:12" s="3" customFormat="1" ht="37.5" customHeight="1" thickBot="1" x14ac:dyDescent="0.3">
      <c r="A3" s="10" t="s">
        <v>277</v>
      </c>
      <c r="B3" s="10" t="s">
        <v>278</v>
      </c>
      <c r="C3" s="11" t="s">
        <v>204</v>
      </c>
      <c r="D3" s="10" t="s">
        <v>324</v>
      </c>
      <c r="E3" s="10" t="s">
        <v>352</v>
      </c>
      <c r="F3" s="10" t="s">
        <v>272</v>
      </c>
      <c r="G3" s="44" t="s">
        <v>282</v>
      </c>
      <c r="H3" s="42" t="s">
        <v>291</v>
      </c>
      <c r="I3" s="10" t="s">
        <v>274</v>
      </c>
      <c r="J3" s="10" t="s">
        <v>275</v>
      </c>
      <c r="K3" s="63" t="s">
        <v>280</v>
      </c>
      <c r="L3" s="94"/>
    </row>
    <row r="4" spans="1:12" ht="18" thickTop="1" x14ac:dyDescent="0.25">
      <c r="A4" s="102" t="s">
        <v>51</v>
      </c>
      <c r="B4" s="102" t="s">
        <v>52</v>
      </c>
      <c r="C4" s="67"/>
      <c r="D4" s="102"/>
      <c r="E4" s="115" t="e">
        <f>VLOOKUP($D4,[1]계정코드!$A$5:$F$270,2,FALSE)</f>
        <v>#N/A</v>
      </c>
      <c r="F4" s="107" t="e">
        <f>VLOOKUP($D4,[1]계정코드!$A$5:$F$270,4,FALSE)</f>
        <v>#N/A</v>
      </c>
      <c r="G4" s="110"/>
      <c r="H4" s="111"/>
      <c r="I4" s="107"/>
      <c r="J4" s="107"/>
      <c r="K4" s="49" t="e">
        <f>#REF!+G4-H4</f>
        <v>#REF!</v>
      </c>
    </row>
    <row r="5" spans="1:12" x14ac:dyDescent="0.25">
      <c r="A5" s="102" t="s">
        <v>51</v>
      </c>
      <c r="B5" s="102" t="s">
        <v>52</v>
      </c>
      <c r="C5" s="67"/>
      <c r="D5" s="102"/>
      <c r="E5" s="115" t="e">
        <f>VLOOKUP($D5,[1]계정코드!$A$5:$F$270,2,FALSE)</f>
        <v>#N/A</v>
      </c>
      <c r="F5" s="107" t="e">
        <f>VLOOKUP($D5,[1]계정코드!$A$5:$F$270,4,FALSE)</f>
        <v>#N/A</v>
      </c>
      <c r="G5" s="110"/>
      <c r="H5" s="111"/>
      <c r="I5" s="107"/>
      <c r="J5" s="107"/>
      <c r="K5" s="49" t="e">
        <f t="shared" ref="K5:K10" si="0">K4+G5-H5</f>
        <v>#REF!</v>
      </c>
    </row>
    <row r="6" spans="1:12" x14ac:dyDescent="0.25">
      <c r="A6" s="102" t="s">
        <v>51</v>
      </c>
      <c r="B6" s="102" t="s">
        <v>52</v>
      </c>
      <c r="C6" s="67"/>
      <c r="D6" s="102"/>
      <c r="E6" s="115" t="e">
        <f>VLOOKUP($D6,[1]계정코드!$A$5:$F$270,2,FALSE)</f>
        <v>#N/A</v>
      </c>
      <c r="F6" s="107" t="e">
        <f>VLOOKUP($D6,[1]계정코드!$A$5:$F$270,4,FALSE)</f>
        <v>#N/A</v>
      </c>
      <c r="G6" s="110"/>
      <c r="H6" s="111"/>
      <c r="I6" s="107"/>
      <c r="J6" s="107"/>
      <c r="K6" s="49" t="e">
        <f t="shared" si="0"/>
        <v>#REF!</v>
      </c>
    </row>
    <row r="7" spans="1:12" x14ac:dyDescent="0.25">
      <c r="A7" s="102" t="s">
        <v>51</v>
      </c>
      <c r="B7" s="102" t="s">
        <v>52</v>
      </c>
      <c r="C7" s="67"/>
      <c r="D7" s="102"/>
      <c r="E7" s="115" t="e">
        <f>VLOOKUP($D7,[1]계정코드!$A$5:$F$270,2,FALSE)</f>
        <v>#N/A</v>
      </c>
      <c r="F7" s="107" t="e">
        <f>VLOOKUP($D7,[1]계정코드!$A$5:$F$270,4,FALSE)</f>
        <v>#N/A</v>
      </c>
      <c r="G7" s="110"/>
      <c r="H7" s="111"/>
      <c r="I7" s="107"/>
      <c r="J7" s="107"/>
      <c r="K7" s="49" t="e">
        <f t="shared" si="0"/>
        <v>#REF!</v>
      </c>
    </row>
    <row r="8" spans="1:12" x14ac:dyDescent="0.25">
      <c r="A8" s="102" t="s">
        <v>51</v>
      </c>
      <c r="B8" s="102" t="s">
        <v>52</v>
      </c>
      <c r="C8" s="67"/>
      <c r="D8" s="102"/>
      <c r="E8" s="115" t="e">
        <f>VLOOKUP($D8,[1]계정코드!$A$5:$F$270,2,FALSE)</f>
        <v>#N/A</v>
      </c>
      <c r="F8" s="107" t="e">
        <f>VLOOKUP($D8,[1]계정코드!$A$5:$F$270,4,FALSE)</f>
        <v>#N/A</v>
      </c>
      <c r="G8" s="110"/>
      <c r="H8" s="111"/>
      <c r="I8" s="107"/>
      <c r="J8" s="107"/>
      <c r="K8" s="49" t="e">
        <f t="shared" si="0"/>
        <v>#REF!</v>
      </c>
    </row>
    <row r="9" spans="1:12" x14ac:dyDescent="0.25">
      <c r="A9" s="102" t="s">
        <v>51</v>
      </c>
      <c r="B9" s="102" t="s">
        <v>52</v>
      </c>
      <c r="C9" s="67"/>
      <c r="D9" s="102"/>
      <c r="E9" s="115" t="e">
        <f>VLOOKUP($D9,[1]계정코드!$A$5:$F$270,2,FALSE)</f>
        <v>#N/A</v>
      </c>
      <c r="F9" s="107" t="e">
        <f>VLOOKUP($D9,[1]계정코드!$A$5:$F$270,4,FALSE)</f>
        <v>#N/A</v>
      </c>
      <c r="G9" s="110"/>
      <c r="H9" s="111"/>
      <c r="I9" s="107"/>
      <c r="J9" s="107"/>
      <c r="K9" s="49" t="e">
        <f t="shared" si="0"/>
        <v>#REF!</v>
      </c>
    </row>
    <row r="10" spans="1:12" x14ac:dyDescent="0.25">
      <c r="A10" s="102" t="s">
        <v>51</v>
      </c>
      <c r="B10" s="102" t="s">
        <v>52</v>
      </c>
      <c r="C10" s="67"/>
      <c r="D10" s="102"/>
      <c r="E10" s="115" t="e">
        <f>VLOOKUP($D10,[1]계정코드!$A$5:$F$270,2,FALSE)</f>
        <v>#N/A</v>
      </c>
      <c r="F10" s="107" t="e">
        <f>VLOOKUP($D10,[1]계정코드!$A$5:$F$270,4,FALSE)</f>
        <v>#N/A</v>
      </c>
      <c r="G10" s="110"/>
      <c r="H10" s="111"/>
      <c r="I10" s="107"/>
      <c r="J10" s="107"/>
      <c r="K10" s="49" t="e">
        <f t="shared" si="0"/>
        <v>#REF!</v>
      </c>
    </row>
    <row r="11" spans="1:12" x14ac:dyDescent="0.25">
      <c r="A11" s="102" t="s">
        <v>51</v>
      </c>
      <c r="B11" s="102" t="s">
        <v>52</v>
      </c>
      <c r="C11" s="67"/>
      <c r="D11" s="102"/>
      <c r="E11" s="115" t="e">
        <f>VLOOKUP($D11,[1]계정코드!$A$5:$F$270,2,FALSE)</f>
        <v>#N/A</v>
      </c>
      <c r="F11" s="107" t="e">
        <f>VLOOKUP($D11,[1]계정코드!$A$5:$F$270,4,FALSE)</f>
        <v>#N/A</v>
      </c>
      <c r="G11" s="110"/>
      <c r="H11" s="111"/>
      <c r="I11" s="107"/>
      <c r="J11" s="107"/>
      <c r="K11" s="49" t="e">
        <f t="shared" ref="K11:K27" si="1">K10+G11-H11</f>
        <v>#REF!</v>
      </c>
    </row>
    <row r="12" spans="1:12" x14ac:dyDescent="0.25">
      <c r="A12" s="102"/>
      <c r="B12" s="102"/>
      <c r="C12" s="67"/>
      <c r="D12" s="102"/>
      <c r="E12" s="115" t="e">
        <f>VLOOKUP($D12,[1]계정코드!$A$5:$F$270,2,FALSE)</f>
        <v>#N/A</v>
      </c>
      <c r="F12" s="107" t="e">
        <f>VLOOKUP($D12,[1]계정코드!$A$5:$F$270,4,FALSE)</f>
        <v>#N/A</v>
      </c>
      <c r="G12" s="110"/>
      <c r="H12" s="111"/>
      <c r="I12" s="107"/>
      <c r="J12" s="107"/>
      <c r="K12" s="49" t="e">
        <f t="shared" si="1"/>
        <v>#REF!</v>
      </c>
    </row>
    <row r="13" spans="1:12" x14ac:dyDescent="0.25">
      <c r="A13" s="102"/>
      <c r="B13" s="102"/>
      <c r="C13" s="67"/>
      <c r="D13" s="102"/>
      <c r="E13" s="115" t="e">
        <f>VLOOKUP($D13,[1]계정코드!$A$5:$F$270,2,FALSE)</f>
        <v>#N/A</v>
      </c>
      <c r="F13" s="107" t="e">
        <f>VLOOKUP($D13,[1]계정코드!$A$5:$F$270,4,FALSE)</f>
        <v>#N/A</v>
      </c>
      <c r="G13" s="110"/>
      <c r="H13" s="111"/>
      <c r="I13" s="107"/>
      <c r="J13" s="107"/>
      <c r="K13" s="49" t="e">
        <f t="shared" si="1"/>
        <v>#REF!</v>
      </c>
    </row>
    <row r="14" spans="1:12" x14ac:dyDescent="0.25">
      <c r="A14" s="102"/>
      <c r="B14" s="102"/>
      <c r="C14" s="67"/>
      <c r="D14" s="102"/>
      <c r="E14" s="115" t="e">
        <f>VLOOKUP($D14,[1]계정코드!$A$5:$F$270,2,FALSE)</f>
        <v>#N/A</v>
      </c>
      <c r="F14" s="107" t="e">
        <f>VLOOKUP($D14,[1]계정코드!$A$5:$F$270,4,FALSE)</f>
        <v>#N/A</v>
      </c>
      <c r="G14" s="110"/>
      <c r="H14" s="111"/>
      <c r="I14" s="107"/>
      <c r="J14" s="107"/>
      <c r="K14" s="49" t="e">
        <f t="shared" si="1"/>
        <v>#REF!</v>
      </c>
    </row>
    <row r="15" spans="1:12" x14ac:dyDescent="0.25">
      <c r="A15" s="102"/>
      <c r="B15" s="102"/>
      <c r="C15" s="67"/>
      <c r="D15" s="102"/>
      <c r="E15" s="115" t="e">
        <f>VLOOKUP($D15,[1]계정코드!$A$5:$F$270,2,FALSE)</f>
        <v>#N/A</v>
      </c>
      <c r="F15" s="107" t="e">
        <f>VLOOKUP($D15,[1]계정코드!$A$5:$F$270,4,FALSE)</f>
        <v>#N/A</v>
      </c>
      <c r="G15" s="110"/>
      <c r="H15" s="111"/>
      <c r="I15" s="107"/>
      <c r="J15" s="107"/>
      <c r="K15" s="49" t="e">
        <f t="shared" si="1"/>
        <v>#REF!</v>
      </c>
    </row>
    <row r="16" spans="1:12" x14ac:dyDescent="0.25">
      <c r="A16" s="102"/>
      <c r="B16" s="102"/>
      <c r="C16" s="67"/>
      <c r="D16" s="102"/>
      <c r="E16" s="115" t="e">
        <f>VLOOKUP($D16,[1]계정코드!$A$5:$F$270,2,FALSE)</f>
        <v>#N/A</v>
      </c>
      <c r="F16" s="107" t="e">
        <f>VLOOKUP($D16,[1]계정코드!$A$5:$F$270,4,FALSE)</f>
        <v>#N/A</v>
      </c>
      <c r="G16" s="110"/>
      <c r="H16" s="111"/>
      <c r="I16" s="107"/>
      <c r="J16" s="107"/>
      <c r="K16" s="49" t="e">
        <f t="shared" si="1"/>
        <v>#REF!</v>
      </c>
    </row>
    <row r="17" spans="1:11" x14ac:dyDescent="0.25">
      <c r="A17" s="102"/>
      <c r="B17" s="102"/>
      <c r="C17" s="67"/>
      <c r="D17" s="102"/>
      <c r="E17" s="115" t="e">
        <f>VLOOKUP($D17,[1]계정코드!$A$5:$F$270,2,FALSE)</f>
        <v>#N/A</v>
      </c>
      <c r="F17" s="107" t="e">
        <f>VLOOKUP($D17,[1]계정코드!$A$5:$F$270,4,FALSE)</f>
        <v>#N/A</v>
      </c>
      <c r="G17" s="110"/>
      <c r="H17" s="111"/>
      <c r="I17" s="107"/>
      <c r="J17" s="107"/>
      <c r="K17" s="49" t="e">
        <f t="shared" si="1"/>
        <v>#REF!</v>
      </c>
    </row>
    <row r="18" spans="1:11" x14ac:dyDescent="0.25">
      <c r="A18" s="102"/>
      <c r="B18" s="102"/>
      <c r="C18" s="67"/>
      <c r="D18" s="102"/>
      <c r="E18" s="115" t="e">
        <f>VLOOKUP($D18,[1]계정코드!$A$5:$F$270,2,FALSE)</f>
        <v>#N/A</v>
      </c>
      <c r="F18" s="107" t="e">
        <f>VLOOKUP($D18,[1]계정코드!$A$5:$F$270,4,FALSE)</f>
        <v>#N/A</v>
      </c>
      <c r="G18" s="110"/>
      <c r="H18" s="111"/>
      <c r="I18" s="107"/>
      <c r="J18" s="107"/>
      <c r="K18" s="49" t="e">
        <f t="shared" si="1"/>
        <v>#REF!</v>
      </c>
    </row>
    <row r="19" spans="1:11" x14ac:dyDescent="0.25">
      <c r="A19" s="102"/>
      <c r="B19" s="102"/>
      <c r="C19" s="67"/>
      <c r="D19" s="102"/>
      <c r="E19" s="115" t="e">
        <f>VLOOKUP($D19,[1]계정코드!$A$5:$F$270,2,FALSE)</f>
        <v>#N/A</v>
      </c>
      <c r="F19" s="107" t="e">
        <f>VLOOKUP($D19,[1]계정코드!$A$5:$F$270,4,FALSE)</f>
        <v>#N/A</v>
      </c>
      <c r="G19" s="110"/>
      <c r="H19" s="111"/>
      <c r="I19" s="107"/>
      <c r="J19" s="107"/>
      <c r="K19" s="49" t="e">
        <f t="shared" si="1"/>
        <v>#REF!</v>
      </c>
    </row>
    <row r="20" spans="1:11" x14ac:dyDescent="0.25">
      <c r="A20" s="102"/>
      <c r="B20" s="102"/>
      <c r="C20" s="67"/>
      <c r="D20" s="102"/>
      <c r="E20" s="115" t="e">
        <f>VLOOKUP($D20,[1]계정코드!$A$5:$F$270,2,FALSE)</f>
        <v>#N/A</v>
      </c>
      <c r="F20" s="107" t="e">
        <f>VLOOKUP($D20,[1]계정코드!$A$5:$F$270,4,FALSE)</f>
        <v>#N/A</v>
      </c>
      <c r="G20" s="110"/>
      <c r="H20" s="111"/>
      <c r="I20" s="107"/>
      <c r="J20" s="107"/>
      <c r="K20" s="49" t="e">
        <f t="shared" si="1"/>
        <v>#REF!</v>
      </c>
    </row>
    <row r="21" spans="1:11" x14ac:dyDescent="0.25">
      <c r="A21" s="102"/>
      <c r="B21" s="102"/>
      <c r="C21" s="67"/>
      <c r="D21" s="102"/>
      <c r="E21" s="115" t="e">
        <f>VLOOKUP($D21,[1]계정코드!$A$5:$F$270,2,FALSE)</f>
        <v>#N/A</v>
      </c>
      <c r="F21" s="107" t="e">
        <f>VLOOKUP($D21,[1]계정코드!$A$5:$F$270,4,FALSE)</f>
        <v>#N/A</v>
      </c>
      <c r="G21" s="110"/>
      <c r="H21" s="111"/>
      <c r="I21" s="107"/>
      <c r="J21" s="107"/>
      <c r="K21" s="49" t="e">
        <f t="shared" si="1"/>
        <v>#REF!</v>
      </c>
    </row>
    <row r="22" spans="1:11" x14ac:dyDescent="0.25">
      <c r="A22" s="102"/>
      <c r="B22" s="102"/>
      <c r="C22" s="67"/>
      <c r="D22" s="102"/>
      <c r="E22" s="115" t="e">
        <f>VLOOKUP($D22,[1]계정코드!$A$5:$F$270,2,FALSE)</f>
        <v>#N/A</v>
      </c>
      <c r="F22" s="107" t="e">
        <f>VLOOKUP($D22,[1]계정코드!$A$5:$F$270,4,FALSE)</f>
        <v>#N/A</v>
      </c>
      <c r="G22" s="110"/>
      <c r="H22" s="111"/>
      <c r="I22" s="107"/>
      <c r="J22" s="107"/>
      <c r="K22" s="49" t="e">
        <f t="shared" si="1"/>
        <v>#REF!</v>
      </c>
    </row>
    <row r="23" spans="1:11" x14ac:dyDescent="0.25">
      <c r="A23" s="102"/>
      <c r="B23" s="102"/>
      <c r="C23" s="67"/>
      <c r="D23" s="102"/>
      <c r="E23" s="115" t="e">
        <f>VLOOKUP($D23,[1]계정코드!$A$5:$F$270,2,FALSE)</f>
        <v>#N/A</v>
      </c>
      <c r="F23" s="107" t="e">
        <f>VLOOKUP($D23,[1]계정코드!$A$5:$F$270,4,FALSE)</f>
        <v>#N/A</v>
      </c>
      <c r="G23" s="110"/>
      <c r="H23" s="111"/>
      <c r="I23" s="107"/>
      <c r="J23" s="107"/>
      <c r="K23" s="49" t="e">
        <f t="shared" si="1"/>
        <v>#REF!</v>
      </c>
    </row>
    <row r="24" spans="1:11" x14ac:dyDescent="0.25">
      <c r="A24" s="102"/>
      <c r="B24" s="102"/>
      <c r="C24" s="67"/>
      <c r="D24" s="102"/>
      <c r="E24" s="115" t="e">
        <f>VLOOKUP($D24,[1]계정코드!$A$5:$F$270,2,FALSE)</f>
        <v>#N/A</v>
      </c>
      <c r="F24" s="107" t="e">
        <f>VLOOKUP($D24,[1]계정코드!$A$5:$F$270,4,FALSE)</f>
        <v>#N/A</v>
      </c>
      <c r="G24" s="110"/>
      <c r="H24" s="111"/>
      <c r="I24" s="107"/>
      <c r="J24" s="107"/>
      <c r="K24" s="49" t="e">
        <f t="shared" si="1"/>
        <v>#REF!</v>
      </c>
    </row>
    <row r="25" spans="1:11" x14ac:dyDescent="0.25">
      <c r="A25" s="102"/>
      <c r="B25" s="102"/>
      <c r="C25" s="67"/>
      <c r="D25" s="102"/>
      <c r="E25" s="115" t="e">
        <f>VLOOKUP($D25,[1]계정코드!$A$5:$F$270,2,FALSE)</f>
        <v>#N/A</v>
      </c>
      <c r="F25" s="107" t="e">
        <f>VLOOKUP($D25,[1]계정코드!$A$5:$F$270,4,FALSE)</f>
        <v>#N/A</v>
      </c>
      <c r="G25" s="110"/>
      <c r="H25" s="111"/>
      <c r="I25" s="107"/>
      <c r="J25" s="107"/>
      <c r="K25" s="49" t="e">
        <f t="shared" si="1"/>
        <v>#REF!</v>
      </c>
    </row>
    <row r="26" spans="1:11" x14ac:dyDescent="0.25">
      <c r="A26" s="102"/>
      <c r="B26" s="102"/>
      <c r="C26" s="67"/>
      <c r="D26" s="102"/>
      <c r="E26" s="115" t="e">
        <f>VLOOKUP($D26,[1]계정코드!$A$5:$F$270,2,FALSE)</f>
        <v>#N/A</v>
      </c>
      <c r="F26" s="107" t="e">
        <f>VLOOKUP($D26,[1]계정코드!$A$5:$F$270,4,FALSE)</f>
        <v>#N/A</v>
      </c>
      <c r="G26" s="110"/>
      <c r="H26" s="111"/>
      <c r="I26" s="107"/>
      <c r="J26" s="107"/>
      <c r="K26" s="49" t="e">
        <f t="shared" si="1"/>
        <v>#REF!</v>
      </c>
    </row>
    <row r="27" spans="1:11" x14ac:dyDescent="0.25">
      <c r="A27" s="102"/>
      <c r="B27" s="102"/>
      <c r="C27" s="67"/>
      <c r="D27" s="102"/>
      <c r="E27" s="115" t="e">
        <f>VLOOKUP($D27,[1]계정코드!$A$5:$F$270,2,FALSE)</f>
        <v>#N/A</v>
      </c>
      <c r="F27" s="107" t="e">
        <f>VLOOKUP($D27,[1]계정코드!$A$5:$F$270,4,FALSE)</f>
        <v>#N/A</v>
      </c>
      <c r="G27" s="110"/>
      <c r="H27" s="111"/>
      <c r="I27" s="107"/>
      <c r="J27" s="107"/>
      <c r="K27" s="49" t="e">
        <f t="shared" si="1"/>
        <v>#REF!</v>
      </c>
    </row>
  </sheetData>
  <autoFilter ref="A3:M27"/>
  <phoneticPr fontId="19" type="noConversion"/>
  <pageMargins left="0.11777777969837189" right="0" top="0.74750000238418579" bottom="0.74750000238418579" header="0.31486111879348755" footer="0.31486111879348755"/>
  <pageSetup paperSize="9" scale="53" fitToHeight="0" orientation="portrait" horizontalDpi="4294967293" r:id="rId1"/>
  <headerFooter alignWithMargins="0">
    <oddFooter>&amp;C&amp;"맑은 고딕,Regular"&amp;P 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indexed="21"/>
    <pageSetUpPr fitToPage="1"/>
  </sheetPr>
  <dimension ref="A1:N54"/>
  <sheetViews>
    <sheetView showGridLines="0" zoomScale="94" zoomScaleNormal="94" zoomScaleSheetLayoutView="75" workbookViewId="0">
      <pane xSplit="3" ySplit="3" topLeftCell="D4" activePane="bottomRight" state="frozen"/>
      <selection activeCell="G5749" sqref="G5749"/>
      <selection pane="topRight"/>
      <selection pane="bottomLeft"/>
      <selection pane="bottomRight" activeCell="H46" sqref="H46"/>
    </sheetView>
  </sheetViews>
  <sheetFormatPr defaultColWidth="8.8984375" defaultRowHeight="17.399999999999999" x14ac:dyDescent="0.25"/>
  <cols>
    <col min="1" max="2" width="5.09765625" style="2" customWidth="1"/>
    <col min="3" max="3" width="15" style="2" customWidth="1"/>
    <col min="4" max="4" width="7.09765625" style="2" bestFit="1" customWidth="1"/>
    <col min="5" max="5" width="12.796875" style="2" bestFit="1" customWidth="1"/>
    <col min="6" max="6" width="27.59765625" style="5" customWidth="1"/>
    <col min="7" max="7" width="10.3984375" style="43" customWidth="1"/>
    <col min="8" max="8" width="11.3984375" style="41" customWidth="1"/>
    <col min="9" max="9" width="12.59765625" style="5" customWidth="1"/>
    <col min="10" max="10" width="30.296875" style="5" customWidth="1"/>
    <col min="11" max="11" width="13.09765625" style="68" customWidth="1"/>
    <col min="12" max="12" width="9.796875" style="40" bestFit="1" customWidth="1"/>
    <col min="13" max="15" width="13" style="2" customWidth="1"/>
    <col min="16" max="16384" width="8.8984375" style="2"/>
  </cols>
  <sheetData>
    <row r="1" spans="1:14" ht="25.2" x14ac:dyDescent="0.25">
      <c r="A1" s="134" t="s">
        <v>391</v>
      </c>
      <c r="B1" s="134"/>
      <c r="C1" s="134"/>
      <c r="D1" s="134"/>
    </row>
    <row r="2" spans="1:14" ht="15" customHeight="1" x14ac:dyDescent="0.25">
      <c r="I2" s="7"/>
      <c r="J2" s="4" t="s">
        <v>286</v>
      </c>
      <c r="K2" s="69"/>
      <c r="L2" s="51"/>
    </row>
    <row r="3" spans="1:14" s="3" customFormat="1" ht="37.5" customHeight="1" thickBot="1" x14ac:dyDescent="0.3">
      <c r="A3" s="10" t="s">
        <v>277</v>
      </c>
      <c r="B3" s="10" t="s">
        <v>278</v>
      </c>
      <c r="C3" s="11" t="s">
        <v>204</v>
      </c>
      <c r="D3" s="10" t="s">
        <v>324</v>
      </c>
      <c r="E3" s="10" t="s">
        <v>352</v>
      </c>
      <c r="F3" s="10" t="s">
        <v>272</v>
      </c>
      <c r="G3" s="44" t="s">
        <v>282</v>
      </c>
      <c r="H3" s="42" t="s">
        <v>291</v>
      </c>
      <c r="I3" s="10" t="s">
        <v>274</v>
      </c>
      <c r="J3" s="10" t="s">
        <v>275</v>
      </c>
      <c r="K3" s="69" t="s">
        <v>292</v>
      </c>
      <c r="L3" s="64" t="s">
        <v>293</v>
      </c>
      <c r="M3" s="45"/>
      <c r="N3" s="45"/>
    </row>
    <row r="4" spans="1:14" ht="18" thickTop="1" x14ac:dyDescent="0.25">
      <c r="A4" s="102" t="s">
        <v>377</v>
      </c>
      <c r="B4" s="102" t="s">
        <v>364</v>
      </c>
      <c r="C4" s="67"/>
      <c r="D4" s="102"/>
      <c r="E4" s="115"/>
      <c r="F4" s="107"/>
      <c r="G4" s="110"/>
      <c r="H4" s="111"/>
      <c r="I4" s="107"/>
      <c r="J4" s="107"/>
      <c r="K4" s="49" t="e">
        <f>#REF!+G4-H4</f>
        <v>#REF!</v>
      </c>
    </row>
    <row r="5" spans="1:14" x14ac:dyDescent="0.25">
      <c r="A5" s="102" t="s">
        <v>377</v>
      </c>
      <c r="B5" s="102" t="s">
        <v>364</v>
      </c>
      <c r="C5" s="67"/>
      <c r="D5" s="102"/>
      <c r="E5" s="115"/>
      <c r="F5" s="107"/>
      <c r="G5" s="110"/>
      <c r="H5" s="111"/>
      <c r="I5" s="107"/>
      <c r="J5" s="107"/>
      <c r="K5" s="49" t="e">
        <f>K4+G5-H5</f>
        <v>#REF!</v>
      </c>
    </row>
    <row r="6" spans="1:14" x14ac:dyDescent="0.25">
      <c r="A6" s="102" t="s">
        <v>377</v>
      </c>
      <c r="B6" s="102" t="s">
        <v>364</v>
      </c>
      <c r="C6" s="67"/>
      <c r="D6" s="102"/>
      <c r="E6" s="115"/>
      <c r="F6" s="107"/>
      <c r="G6" s="110"/>
      <c r="H6" s="111"/>
      <c r="I6" s="107"/>
      <c r="J6" s="107"/>
      <c r="K6" s="49" t="e">
        <f>K5+G6-H6</f>
        <v>#REF!</v>
      </c>
    </row>
    <row r="7" spans="1:14" x14ac:dyDescent="0.25">
      <c r="A7" s="102" t="s">
        <v>51</v>
      </c>
      <c r="B7" s="102" t="s">
        <v>52</v>
      </c>
      <c r="C7" s="67"/>
      <c r="D7" s="102"/>
      <c r="E7" s="115"/>
      <c r="F7" s="107"/>
      <c r="G7" s="110"/>
      <c r="H7" s="111"/>
      <c r="I7" s="107"/>
      <c r="J7" s="107"/>
      <c r="K7" s="49" t="e">
        <f>K6+G7-H7</f>
        <v>#REF!</v>
      </c>
    </row>
    <row r="8" spans="1:14" x14ac:dyDescent="0.25">
      <c r="A8" s="102" t="s">
        <v>51</v>
      </c>
      <c r="B8" s="102" t="s">
        <v>52</v>
      </c>
      <c r="C8" s="67"/>
      <c r="D8" s="102"/>
      <c r="E8" s="115"/>
      <c r="F8" s="107"/>
      <c r="G8" s="110"/>
      <c r="H8" s="111"/>
      <c r="I8" s="107"/>
      <c r="J8" s="107"/>
      <c r="K8" s="49" t="e">
        <f t="shared" ref="K8:K54" si="0">K7+G8-H8</f>
        <v>#REF!</v>
      </c>
    </row>
    <row r="9" spans="1:14" x14ac:dyDescent="0.25">
      <c r="A9" s="102" t="s">
        <v>51</v>
      </c>
      <c r="B9" s="102" t="s">
        <v>52</v>
      </c>
      <c r="C9" s="67"/>
      <c r="D9" s="102"/>
      <c r="E9" s="115"/>
      <c r="F9" s="107"/>
      <c r="G9" s="110"/>
      <c r="H9" s="111"/>
      <c r="I9" s="107"/>
      <c r="J9" s="107"/>
      <c r="K9" s="49" t="e">
        <f t="shared" si="0"/>
        <v>#REF!</v>
      </c>
    </row>
    <row r="10" spans="1:14" x14ac:dyDescent="0.25">
      <c r="A10" s="102" t="s">
        <v>51</v>
      </c>
      <c r="B10" s="102" t="s">
        <v>52</v>
      </c>
      <c r="C10" s="67"/>
      <c r="D10" s="102"/>
      <c r="E10" s="115"/>
      <c r="F10" s="107"/>
      <c r="G10" s="110"/>
      <c r="H10" s="111"/>
      <c r="I10" s="107"/>
      <c r="J10" s="107"/>
      <c r="K10" s="49" t="e">
        <f t="shared" si="0"/>
        <v>#REF!</v>
      </c>
    </row>
    <row r="11" spans="1:14" x14ac:dyDescent="0.25">
      <c r="A11" s="102" t="s">
        <v>51</v>
      </c>
      <c r="B11" s="102" t="s">
        <v>52</v>
      </c>
      <c r="C11" s="67"/>
      <c r="D11" s="102"/>
      <c r="E11" s="115"/>
      <c r="F11" s="107"/>
      <c r="G11" s="110"/>
      <c r="H11" s="111"/>
      <c r="I11" s="107"/>
      <c r="J11" s="107"/>
      <c r="K11" s="49" t="e">
        <f t="shared" si="0"/>
        <v>#REF!</v>
      </c>
    </row>
    <row r="12" spans="1:14" x14ac:dyDescent="0.25">
      <c r="A12" s="102" t="s">
        <v>51</v>
      </c>
      <c r="B12" s="102" t="s">
        <v>52</v>
      </c>
      <c r="C12" s="67"/>
      <c r="D12" s="102"/>
      <c r="E12" s="115"/>
      <c r="F12" s="107"/>
      <c r="G12" s="110"/>
      <c r="H12" s="111"/>
      <c r="I12" s="107"/>
      <c r="J12" s="107"/>
      <c r="K12" s="49" t="e">
        <f t="shared" si="0"/>
        <v>#REF!</v>
      </c>
    </row>
    <row r="13" spans="1:14" x14ac:dyDescent="0.25">
      <c r="A13" s="102" t="s">
        <v>51</v>
      </c>
      <c r="B13" s="102" t="s">
        <v>52</v>
      </c>
      <c r="C13" s="67"/>
      <c r="D13" s="102"/>
      <c r="E13" s="115"/>
      <c r="F13" s="107"/>
      <c r="G13" s="110"/>
      <c r="H13" s="111"/>
      <c r="I13" s="107"/>
      <c r="J13" s="107"/>
      <c r="K13" s="49" t="e">
        <f t="shared" si="0"/>
        <v>#REF!</v>
      </c>
    </row>
    <row r="14" spans="1:14" x14ac:dyDescent="0.25">
      <c r="A14" s="102" t="s">
        <v>51</v>
      </c>
      <c r="B14" s="102" t="s">
        <v>52</v>
      </c>
      <c r="C14" s="67"/>
      <c r="D14" s="102"/>
      <c r="E14" s="115"/>
      <c r="F14" s="107"/>
      <c r="G14" s="110"/>
      <c r="H14" s="111"/>
      <c r="I14" s="107"/>
      <c r="J14" s="107"/>
      <c r="K14" s="49" t="e">
        <f t="shared" si="0"/>
        <v>#REF!</v>
      </c>
    </row>
    <row r="15" spans="1:14" x14ac:dyDescent="0.25">
      <c r="A15" s="102" t="s">
        <v>51</v>
      </c>
      <c r="B15" s="102" t="s">
        <v>52</v>
      </c>
      <c r="C15" s="67"/>
      <c r="D15" s="102"/>
      <c r="E15" s="115"/>
      <c r="F15" s="107"/>
      <c r="G15" s="110"/>
      <c r="H15" s="111"/>
      <c r="I15" s="107"/>
      <c r="J15" s="107"/>
      <c r="K15" s="49" t="e">
        <f t="shared" si="0"/>
        <v>#REF!</v>
      </c>
    </row>
    <row r="16" spans="1:14" x14ac:dyDescent="0.25">
      <c r="A16" s="102" t="s">
        <v>51</v>
      </c>
      <c r="B16" s="102" t="s">
        <v>52</v>
      </c>
      <c r="C16" s="67"/>
      <c r="D16" s="102"/>
      <c r="E16" s="115"/>
      <c r="F16" s="107"/>
      <c r="G16" s="110"/>
      <c r="H16" s="111"/>
      <c r="I16" s="107"/>
      <c r="J16" s="107"/>
      <c r="K16" s="49" t="e">
        <f t="shared" si="0"/>
        <v>#REF!</v>
      </c>
    </row>
    <row r="17" spans="1:11" x14ac:dyDescent="0.25">
      <c r="A17" s="102" t="s">
        <v>51</v>
      </c>
      <c r="B17" s="102" t="s">
        <v>52</v>
      </c>
      <c r="C17" s="67"/>
      <c r="D17" s="102"/>
      <c r="E17" s="115"/>
      <c r="F17" s="107"/>
      <c r="G17" s="110"/>
      <c r="H17" s="111"/>
      <c r="I17" s="107"/>
      <c r="J17" s="107"/>
      <c r="K17" s="49" t="e">
        <f t="shared" si="0"/>
        <v>#REF!</v>
      </c>
    </row>
    <row r="18" spans="1:11" x14ac:dyDescent="0.25">
      <c r="A18" s="102" t="s">
        <v>51</v>
      </c>
      <c r="B18" s="102" t="s">
        <v>52</v>
      </c>
      <c r="C18" s="67"/>
      <c r="D18" s="102"/>
      <c r="E18" s="115"/>
      <c r="F18" s="107"/>
      <c r="G18" s="110"/>
      <c r="H18" s="111"/>
      <c r="I18" s="107"/>
      <c r="J18" s="107"/>
      <c r="K18" s="49" t="e">
        <f t="shared" si="0"/>
        <v>#REF!</v>
      </c>
    </row>
    <row r="19" spans="1:11" x14ac:dyDescent="0.25">
      <c r="A19" s="102" t="s">
        <v>51</v>
      </c>
      <c r="B19" s="102" t="s">
        <v>52</v>
      </c>
      <c r="C19" s="67"/>
      <c r="D19" s="102"/>
      <c r="E19" s="115"/>
      <c r="F19" s="107"/>
      <c r="G19" s="110"/>
      <c r="H19" s="111"/>
      <c r="I19" s="107"/>
      <c r="J19" s="107"/>
      <c r="K19" s="49" t="e">
        <f t="shared" si="0"/>
        <v>#REF!</v>
      </c>
    </row>
    <row r="20" spans="1:11" x14ac:dyDescent="0.25">
      <c r="A20" s="102" t="s">
        <v>51</v>
      </c>
      <c r="B20" s="102" t="s">
        <v>52</v>
      </c>
      <c r="C20" s="67"/>
      <c r="D20" s="102"/>
      <c r="E20" s="115"/>
      <c r="F20" s="107"/>
      <c r="G20" s="110"/>
      <c r="H20" s="111"/>
      <c r="I20" s="107"/>
      <c r="J20" s="107"/>
      <c r="K20" s="49" t="e">
        <f t="shared" si="0"/>
        <v>#REF!</v>
      </c>
    </row>
    <row r="21" spans="1:11" x14ac:dyDescent="0.25">
      <c r="A21" s="102" t="s">
        <v>51</v>
      </c>
      <c r="B21" s="102" t="s">
        <v>52</v>
      </c>
      <c r="C21" s="67"/>
      <c r="D21" s="102"/>
      <c r="E21" s="115"/>
      <c r="F21" s="107"/>
      <c r="G21" s="110"/>
      <c r="H21" s="111"/>
      <c r="I21" s="107"/>
      <c r="J21" s="107"/>
      <c r="K21" s="49" t="e">
        <f t="shared" si="0"/>
        <v>#REF!</v>
      </c>
    </row>
    <row r="22" spans="1:11" x14ac:dyDescent="0.25">
      <c r="A22" s="102" t="s">
        <v>51</v>
      </c>
      <c r="B22" s="102" t="s">
        <v>52</v>
      </c>
      <c r="C22" s="67"/>
      <c r="D22" s="102"/>
      <c r="E22" s="115"/>
      <c r="F22" s="107"/>
      <c r="G22" s="110"/>
      <c r="H22" s="111"/>
      <c r="I22" s="107"/>
      <c r="J22" s="107"/>
      <c r="K22" s="49" t="e">
        <f t="shared" si="0"/>
        <v>#REF!</v>
      </c>
    </row>
    <row r="23" spans="1:11" x14ac:dyDescent="0.25">
      <c r="A23" s="102" t="s">
        <v>51</v>
      </c>
      <c r="B23" s="102" t="s">
        <v>52</v>
      </c>
      <c r="C23" s="67"/>
      <c r="D23" s="102"/>
      <c r="E23" s="115"/>
      <c r="F23" s="107"/>
      <c r="G23" s="110"/>
      <c r="H23" s="111"/>
      <c r="I23" s="107"/>
      <c r="J23" s="107"/>
      <c r="K23" s="49" t="e">
        <f t="shared" si="0"/>
        <v>#REF!</v>
      </c>
    </row>
    <row r="24" spans="1:11" x14ac:dyDescent="0.25">
      <c r="A24" s="102" t="s">
        <v>51</v>
      </c>
      <c r="B24" s="102" t="s">
        <v>52</v>
      </c>
      <c r="C24" s="67"/>
      <c r="D24" s="102"/>
      <c r="E24" s="115"/>
      <c r="F24" s="107"/>
      <c r="G24" s="110"/>
      <c r="H24" s="111"/>
      <c r="I24" s="107"/>
      <c r="J24" s="108"/>
      <c r="K24" s="49" t="e">
        <f t="shared" si="0"/>
        <v>#REF!</v>
      </c>
    </row>
    <row r="25" spans="1:11" x14ac:dyDescent="0.25">
      <c r="A25" s="102" t="s">
        <v>51</v>
      </c>
      <c r="B25" s="102" t="s">
        <v>52</v>
      </c>
      <c r="C25" s="67"/>
      <c r="D25" s="102"/>
      <c r="E25" s="115"/>
      <c r="F25" s="107"/>
      <c r="G25" s="110"/>
      <c r="H25" s="111"/>
      <c r="I25" s="107"/>
      <c r="J25" s="108"/>
      <c r="K25" s="49" t="e">
        <f t="shared" si="0"/>
        <v>#REF!</v>
      </c>
    </row>
    <row r="26" spans="1:11" x14ac:dyDescent="0.25">
      <c r="A26" s="102" t="s">
        <v>51</v>
      </c>
      <c r="B26" s="102" t="s">
        <v>52</v>
      </c>
      <c r="C26" s="67"/>
      <c r="D26" s="102"/>
      <c r="E26" s="115"/>
      <c r="F26" s="107"/>
      <c r="G26" s="110"/>
      <c r="H26" s="111"/>
      <c r="I26" s="107"/>
      <c r="J26" s="108"/>
      <c r="K26" s="49" t="e">
        <f t="shared" si="0"/>
        <v>#REF!</v>
      </c>
    </row>
    <row r="27" spans="1:11" x14ac:dyDescent="0.25">
      <c r="A27" s="102" t="s">
        <v>51</v>
      </c>
      <c r="B27" s="102" t="s">
        <v>52</v>
      </c>
      <c r="C27" s="67"/>
      <c r="D27" s="102"/>
      <c r="E27" s="115"/>
      <c r="F27" s="107"/>
      <c r="G27" s="110"/>
      <c r="H27" s="111"/>
      <c r="I27" s="107"/>
      <c r="J27" s="108"/>
      <c r="K27" s="49" t="e">
        <f t="shared" si="0"/>
        <v>#REF!</v>
      </c>
    </row>
    <row r="28" spans="1:11" x14ac:dyDescent="0.25">
      <c r="A28" s="102" t="s">
        <v>51</v>
      </c>
      <c r="B28" s="102" t="s">
        <v>52</v>
      </c>
      <c r="C28" s="67"/>
      <c r="D28" s="102"/>
      <c r="E28" s="115"/>
      <c r="F28" s="107"/>
      <c r="G28" s="110"/>
      <c r="H28" s="111"/>
      <c r="I28" s="107"/>
      <c r="J28" s="107"/>
      <c r="K28" s="49" t="e">
        <f t="shared" si="0"/>
        <v>#REF!</v>
      </c>
    </row>
    <row r="29" spans="1:11" x14ac:dyDescent="0.25">
      <c r="A29" s="102" t="s">
        <v>51</v>
      </c>
      <c r="B29" s="102" t="s">
        <v>52</v>
      </c>
      <c r="C29" s="67"/>
      <c r="D29" s="102"/>
      <c r="E29" s="115"/>
      <c r="F29" s="107"/>
      <c r="G29" s="110"/>
      <c r="H29" s="111"/>
      <c r="I29" s="107"/>
      <c r="J29" s="107"/>
      <c r="K29" s="49" t="e">
        <f t="shared" si="0"/>
        <v>#REF!</v>
      </c>
    </row>
    <row r="30" spans="1:11" x14ac:dyDescent="0.25">
      <c r="A30" s="102" t="s">
        <v>51</v>
      </c>
      <c r="B30" s="102" t="s">
        <v>52</v>
      </c>
      <c r="C30" s="67"/>
      <c r="D30" s="102"/>
      <c r="E30" s="115"/>
      <c r="F30" s="107"/>
      <c r="G30" s="110"/>
      <c r="H30" s="111"/>
      <c r="I30" s="107"/>
      <c r="J30" s="107"/>
      <c r="K30" s="49" t="e">
        <f t="shared" si="0"/>
        <v>#REF!</v>
      </c>
    </row>
    <row r="31" spans="1:11" x14ac:dyDescent="0.25">
      <c r="A31" s="102" t="s">
        <v>51</v>
      </c>
      <c r="B31" s="102" t="s">
        <v>52</v>
      </c>
      <c r="C31" s="67"/>
      <c r="D31" s="102"/>
      <c r="E31" s="115"/>
      <c r="F31" s="107"/>
      <c r="G31" s="110"/>
      <c r="H31" s="111"/>
      <c r="I31" s="107"/>
      <c r="J31" s="107"/>
      <c r="K31" s="49" t="e">
        <f t="shared" si="0"/>
        <v>#REF!</v>
      </c>
    </row>
    <row r="32" spans="1:11" x14ac:dyDescent="0.25">
      <c r="A32" s="102" t="s">
        <v>51</v>
      </c>
      <c r="B32" s="102" t="s">
        <v>52</v>
      </c>
      <c r="C32" s="67"/>
      <c r="D32" s="102"/>
      <c r="E32" s="115"/>
      <c r="F32" s="107"/>
      <c r="G32" s="110"/>
      <c r="H32" s="111"/>
      <c r="I32" s="107"/>
      <c r="J32" s="107"/>
      <c r="K32" s="49" t="e">
        <f t="shared" si="0"/>
        <v>#REF!</v>
      </c>
    </row>
    <row r="33" spans="1:11" x14ac:dyDescent="0.25">
      <c r="A33" s="102" t="s">
        <v>51</v>
      </c>
      <c r="B33" s="102" t="s">
        <v>52</v>
      </c>
      <c r="C33" s="67"/>
      <c r="D33" s="102"/>
      <c r="E33" s="115"/>
      <c r="F33" s="107"/>
      <c r="G33" s="110"/>
      <c r="H33" s="111"/>
      <c r="I33" s="107"/>
      <c r="J33" s="107"/>
      <c r="K33" s="49" t="e">
        <f t="shared" si="0"/>
        <v>#REF!</v>
      </c>
    </row>
    <row r="34" spans="1:11" x14ac:dyDescent="0.25">
      <c r="A34" s="102" t="s">
        <v>51</v>
      </c>
      <c r="B34" s="102" t="s">
        <v>52</v>
      </c>
      <c r="C34" s="67"/>
      <c r="D34" s="102"/>
      <c r="E34" s="115"/>
      <c r="F34" s="107"/>
      <c r="G34" s="110"/>
      <c r="H34" s="111"/>
      <c r="I34" s="107"/>
      <c r="J34" s="107"/>
      <c r="K34" s="49" t="e">
        <f t="shared" si="0"/>
        <v>#REF!</v>
      </c>
    </row>
    <row r="35" spans="1:11" x14ac:dyDescent="0.25">
      <c r="A35" s="102" t="s">
        <v>51</v>
      </c>
      <c r="B35" s="102" t="s">
        <v>52</v>
      </c>
      <c r="C35" s="67"/>
      <c r="D35" s="102"/>
      <c r="E35" s="115"/>
      <c r="F35" s="107"/>
      <c r="G35" s="110"/>
      <c r="H35" s="111"/>
      <c r="I35" s="107"/>
      <c r="J35" s="107"/>
      <c r="K35" s="49" t="e">
        <f t="shared" si="0"/>
        <v>#REF!</v>
      </c>
    </row>
    <row r="36" spans="1:11" x14ac:dyDescent="0.25">
      <c r="A36" s="102" t="s">
        <v>51</v>
      </c>
      <c r="B36" s="102" t="s">
        <v>52</v>
      </c>
      <c r="C36" s="67"/>
      <c r="D36" s="102"/>
      <c r="E36" s="115"/>
      <c r="F36" s="107"/>
      <c r="G36" s="110"/>
      <c r="H36" s="111"/>
      <c r="I36" s="107"/>
      <c r="J36" s="107"/>
      <c r="K36" s="49" t="e">
        <f t="shared" si="0"/>
        <v>#REF!</v>
      </c>
    </row>
    <row r="37" spans="1:11" x14ac:dyDescent="0.25">
      <c r="A37" s="102" t="s">
        <v>51</v>
      </c>
      <c r="B37" s="102" t="s">
        <v>52</v>
      </c>
      <c r="C37" s="67"/>
      <c r="D37" s="102"/>
      <c r="E37" s="115"/>
      <c r="F37" s="107"/>
      <c r="G37" s="110"/>
      <c r="H37" s="111"/>
      <c r="I37" s="107"/>
      <c r="J37" s="107"/>
      <c r="K37" s="49" t="e">
        <f t="shared" si="0"/>
        <v>#REF!</v>
      </c>
    </row>
    <row r="38" spans="1:11" x14ac:dyDescent="0.25">
      <c r="A38" s="102" t="s">
        <v>51</v>
      </c>
      <c r="B38" s="102" t="s">
        <v>52</v>
      </c>
      <c r="C38" s="67"/>
      <c r="D38" s="102"/>
      <c r="E38" s="115"/>
      <c r="F38" s="107"/>
      <c r="G38" s="110"/>
      <c r="H38" s="111"/>
      <c r="I38" s="107"/>
      <c r="J38" s="107"/>
      <c r="K38" s="49" t="e">
        <f t="shared" si="0"/>
        <v>#REF!</v>
      </c>
    </row>
    <row r="39" spans="1:11" x14ac:dyDescent="0.25">
      <c r="A39" s="102" t="s">
        <v>51</v>
      </c>
      <c r="B39" s="102" t="s">
        <v>52</v>
      </c>
      <c r="C39" s="67"/>
      <c r="D39" s="102"/>
      <c r="E39" s="115"/>
      <c r="F39" s="107"/>
      <c r="G39" s="110"/>
      <c r="H39" s="111"/>
      <c r="I39" s="107"/>
      <c r="J39" s="107"/>
      <c r="K39" s="49" t="e">
        <f t="shared" si="0"/>
        <v>#REF!</v>
      </c>
    </row>
    <row r="40" spans="1:11" x14ac:dyDescent="0.25">
      <c r="A40" s="102" t="s">
        <v>51</v>
      </c>
      <c r="B40" s="102" t="s">
        <v>52</v>
      </c>
      <c r="C40" s="67"/>
      <c r="D40" s="102"/>
      <c r="E40" s="115"/>
      <c r="F40" s="107"/>
      <c r="G40" s="110"/>
      <c r="H40" s="111"/>
      <c r="I40" s="107"/>
      <c r="J40" s="107"/>
      <c r="K40" s="49" t="e">
        <f t="shared" si="0"/>
        <v>#REF!</v>
      </c>
    </row>
    <row r="41" spans="1:11" x14ac:dyDescent="0.25">
      <c r="A41" s="102" t="s">
        <v>51</v>
      </c>
      <c r="B41" s="102" t="s">
        <v>52</v>
      </c>
      <c r="C41" s="67"/>
      <c r="D41" s="102"/>
      <c r="E41" s="115"/>
      <c r="F41" s="107"/>
      <c r="G41" s="110"/>
      <c r="H41" s="111"/>
      <c r="I41" s="107"/>
      <c r="J41" s="107"/>
      <c r="K41" s="49" t="e">
        <f t="shared" si="0"/>
        <v>#REF!</v>
      </c>
    </row>
    <row r="42" spans="1:11" x14ac:dyDescent="0.25">
      <c r="A42" s="102" t="s">
        <v>51</v>
      </c>
      <c r="B42" s="102" t="s">
        <v>52</v>
      </c>
      <c r="C42" s="67"/>
      <c r="D42" s="102"/>
      <c r="E42" s="115"/>
      <c r="F42" s="107"/>
      <c r="G42" s="110"/>
      <c r="H42" s="111"/>
      <c r="I42" s="107"/>
      <c r="J42" s="107"/>
      <c r="K42" s="49" t="e">
        <f t="shared" si="0"/>
        <v>#REF!</v>
      </c>
    </row>
    <row r="43" spans="1:11" x14ac:dyDescent="0.25">
      <c r="A43" s="102" t="s">
        <v>51</v>
      </c>
      <c r="B43" s="102" t="s">
        <v>52</v>
      </c>
      <c r="C43" s="67"/>
      <c r="D43" s="102"/>
      <c r="E43" s="115"/>
      <c r="F43" s="107"/>
      <c r="G43" s="110"/>
      <c r="H43" s="111"/>
      <c r="I43" s="107"/>
      <c r="J43" s="107"/>
      <c r="K43" s="49" t="e">
        <f t="shared" si="0"/>
        <v>#REF!</v>
      </c>
    </row>
    <row r="44" spans="1:11" x14ac:dyDescent="0.25">
      <c r="A44" s="102" t="s">
        <v>51</v>
      </c>
      <c r="B44" s="102" t="s">
        <v>52</v>
      </c>
      <c r="C44" s="67"/>
      <c r="D44" s="102"/>
      <c r="E44" s="115"/>
      <c r="F44" s="107"/>
      <c r="G44" s="110"/>
      <c r="H44" s="111"/>
      <c r="I44" s="107"/>
      <c r="J44" s="107"/>
      <c r="K44" s="49" t="e">
        <f t="shared" si="0"/>
        <v>#REF!</v>
      </c>
    </row>
    <row r="45" spans="1:11" x14ac:dyDescent="0.25">
      <c r="A45" s="102" t="s">
        <v>51</v>
      </c>
      <c r="B45" s="102" t="s">
        <v>52</v>
      </c>
      <c r="C45" s="67"/>
      <c r="D45" s="102"/>
      <c r="E45" s="115"/>
      <c r="F45" s="107"/>
      <c r="G45" s="110"/>
      <c r="H45" s="111"/>
      <c r="I45" s="107"/>
      <c r="J45" s="107"/>
      <c r="K45" s="49" t="e">
        <f t="shared" si="0"/>
        <v>#REF!</v>
      </c>
    </row>
    <row r="46" spans="1:11" x14ac:dyDescent="0.25">
      <c r="A46" s="102" t="s">
        <v>51</v>
      </c>
      <c r="B46" s="102" t="s">
        <v>52</v>
      </c>
      <c r="C46" s="67"/>
      <c r="D46" s="102"/>
      <c r="E46" s="115"/>
      <c r="F46" s="107"/>
      <c r="G46" s="110"/>
      <c r="H46" s="111"/>
      <c r="I46" s="107"/>
      <c r="J46" s="107"/>
      <c r="K46" s="49" t="e">
        <f t="shared" si="0"/>
        <v>#REF!</v>
      </c>
    </row>
    <row r="47" spans="1:11" x14ac:dyDescent="0.25">
      <c r="A47" s="102" t="s">
        <v>51</v>
      </c>
      <c r="B47" s="102" t="s">
        <v>52</v>
      </c>
      <c r="C47" s="67"/>
      <c r="D47" s="102"/>
      <c r="E47" s="115"/>
      <c r="F47" s="107"/>
      <c r="G47" s="110"/>
      <c r="H47" s="111"/>
      <c r="I47" s="107"/>
      <c r="J47" s="107"/>
      <c r="K47" s="49" t="e">
        <f t="shared" si="0"/>
        <v>#REF!</v>
      </c>
    </row>
    <row r="48" spans="1:11" x14ac:dyDescent="0.25">
      <c r="A48" s="102"/>
      <c r="B48" s="102"/>
      <c r="C48" s="67"/>
      <c r="D48" s="102"/>
      <c r="E48" s="115"/>
      <c r="F48" s="107"/>
      <c r="G48" s="110"/>
      <c r="H48" s="111"/>
      <c r="I48" s="107"/>
      <c r="J48" s="107"/>
      <c r="K48" s="49" t="e">
        <f t="shared" si="0"/>
        <v>#REF!</v>
      </c>
    </row>
    <row r="49" spans="1:11" x14ac:dyDescent="0.25">
      <c r="A49" s="102"/>
      <c r="B49" s="102"/>
      <c r="C49" s="67"/>
      <c r="D49" s="102"/>
      <c r="E49" s="115"/>
      <c r="F49" s="107"/>
      <c r="G49" s="110"/>
      <c r="H49" s="111"/>
      <c r="I49" s="107"/>
      <c r="J49" s="107"/>
      <c r="K49" s="49" t="e">
        <f t="shared" si="0"/>
        <v>#REF!</v>
      </c>
    </row>
    <row r="50" spans="1:11" x14ac:dyDescent="0.25">
      <c r="A50" s="116"/>
      <c r="B50" s="116"/>
      <c r="C50" s="112"/>
      <c r="D50" s="116"/>
      <c r="E50" s="109"/>
      <c r="F50" s="117"/>
      <c r="G50" s="113"/>
      <c r="H50" s="114"/>
      <c r="I50" s="117"/>
      <c r="J50" s="133"/>
      <c r="K50" s="49" t="e">
        <f t="shared" si="0"/>
        <v>#REF!</v>
      </c>
    </row>
    <row r="51" spans="1:11" x14ac:dyDescent="0.25">
      <c r="A51" s="102"/>
      <c r="B51" s="102"/>
      <c r="C51" s="67"/>
      <c r="D51" s="102"/>
      <c r="E51" s="115"/>
      <c r="F51" s="107"/>
      <c r="G51" s="110"/>
      <c r="H51" s="111"/>
      <c r="I51" s="107"/>
      <c r="J51" s="107"/>
      <c r="K51" s="49" t="e">
        <f t="shared" si="0"/>
        <v>#REF!</v>
      </c>
    </row>
    <row r="52" spans="1:11" x14ac:dyDescent="0.25">
      <c r="A52" s="102"/>
      <c r="B52" s="102"/>
      <c r="C52" s="67"/>
      <c r="D52" s="102"/>
      <c r="E52" s="115"/>
      <c r="F52" s="107"/>
      <c r="G52" s="110"/>
      <c r="H52" s="111"/>
      <c r="I52" s="107"/>
      <c r="J52" s="107"/>
      <c r="K52" s="49" t="e">
        <f t="shared" si="0"/>
        <v>#REF!</v>
      </c>
    </row>
    <row r="53" spans="1:11" x14ac:dyDescent="0.25">
      <c r="A53" s="102"/>
      <c r="B53" s="102"/>
      <c r="C53" s="67"/>
      <c r="D53" s="102"/>
      <c r="E53" s="115"/>
      <c r="F53" s="107"/>
      <c r="G53" s="110"/>
      <c r="H53" s="111"/>
      <c r="I53" s="107"/>
      <c r="J53" s="107"/>
      <c r="K53" s="49" t="e">
        <f t="shared" si="0"/>
        <v>#REF!</v>
      </c>
    </row>
    <row r="54" spans="1:11" x14ac:dyDescent="0.25">
      <c r="A54" s="116"/>
      <c r="B54" s="116"/>
      <c r="C54" s="112"/>
      <c r="D54" s="116"/>
      <c r="E54" s="109"/>
      <c r="F54" s="117"/>
      <c r="G54" s="113"/>
      <c r="H54" s="114"/>
      <c r="I54" s="117"/>
      <c r="J54" s="133"/>
      <c r="K54" s="49" t="e">
        <f t="shared" si="0"/>
        <v>#REF!</v>
      </c>
    </row>
  </sheetData>
  <autoFilter ref="A3:N3"/>
  <mergeCells count="1">
    <mergeCell ref="A1:D1"/>
  </mergeCells>
  <phoneticPr fontId="19" type="noConversion"/>
  <pageMargins left="0.23597222566604614" right="0.23597222566604614" top="0.74750000238418579" bottom="0.74750000238418579" header="0.31486111879348755" footer="0.31486111879348755"/>
  <pageSetup paperSize="9" scale="57" fitToHeight="0" orientation="portrait" horizontalDpi="4294967293" r:id="rId1"/>
  <headerFooter alignWithMargins="0">
    <oddFooter>&amp;C&amp;"맑은 고딕,Regular"&amp;P  of 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21"/>
    <pageSetUpPr fitToPage="1"/>
  </sheetPr>
  <dimension ref="A1:K32"/>
  <sheetViews>
    <sheetView showGridLines="0" zoomScaleNormal="100" zoomScaleSheetLayoutView="75" workbookViewId="0">
      <pane xSplit="3" ySplit="3" topLeftCell="D4" activePane="bottomRight" state="frozen"/>
      <selection activeCell="I448" sqref="I448"/>
      <selection pane="topRight"/>
      <selection pane="bottomLeft"/>
      <selection pane="bottomRight" activeCell="J30" sqref="J30"/>
    </sheetView>
  </sheetViews>
  <sheetFormatPr defaultColWidth="8.8984375" defaultRowHeight="17.399999999999999" x14ac:dyDescent="0.25"/>
  <cols>
    <col min="1" max="2" width="5.09765625" style="2" customWidth="1"/>
    <col min="3" max="3" width="14.19921875" style="2" bestFit="1" customWidth="1"/>
    <col min="4" max="4" width="7.09765625" style="2" bestFit="1" customWidth="1"/>
    <col min="5" max="5" width="12.796875" style="2" bestFit="1" customWidth="1"/>
    <col min="6" max="6" width="29.19921875" style="5" bestFit="1" customWidth="1"/>
    <col min="7" max="7" width="11.09765625" style="43" customWidth="1"/>
    <col min="8" max="8" width="10.8984375" style="41" customWidth="1"/>
    <col min="9" max="9" width="7.796875" style="5" bestFit="1" customWidth="1"/>
    <col min="10" max="10" width="20.59765625" style="2" customWidth="1"/>
    <col min="11" max="11" width="8.59765625" style="70" bestFit="1" customWidth="1"/>
    <col min="12" max="14" width="13" style="2" customWidth="1"/>
    <col min="15" max="16384" width="8.8984375" style="2"/>
  </cols>
  <sheetData>
    <row r="1" spans="1:11" ht="25.2" x14ac:dyDescent="0.25">
      <c r="A1" s="8" t="s">
        <v>392</v>
      </c>
      <c r="B1" s="8"/>
      <c r="C1" s="8"/>
      <c r="D1" s="8"/>
      <c r="E1" s="8"/>
      <c r="F1" s="8"/>
    </row>
    <row r="2" spans="1:11" x14ac:dyDescent="0.25">
      <c r="I2" s="7"/>
      <c r="J2" s="4" t="s">
        <v>286</v>
      </c>
    </row>
    <row r="3" spans="1:11" s="3" customFormat="1" ht="37.5" customHeight="1" x14ac:dyDescent="0.25">
      <c r="A3" s="6" t="s">
        <v>277</v>
      </c>
      <c r="B3" s="6" t="s">
        <v>278</v>
      </c>
      <c r="C3" s="9" t="s">
        <v>204</v>
      </c>
      <c r="D3" s="6" t="s">
        <v>324</v>
      </c>
      <c r="E3" s="6" t="s">
        <v>352</v>
      </c>
      <c r="F3" s="6" t="s">
        <v>272</v>
      </c>
      <c r="G3" s="47" t="s">
        <v>282</v>
      </c>
      <c r="H3" s="48" t="s">
        <v>291</v>
      </c>
      <c r="I3" s="6" t="s">
        <v>274</v>
      </c>
      <c r="J3" s="6" t="s">
        <v>275</v>
      </c>
      <c r="K3" s="71" t="s">
        <v>288</v>
      </c>
    </row>
    <row r="4" spans="1:11" x14ac:dyDescent="0.25">
      <c r="A4" s="102"/>
      <c r="B4" s="102"/>
      <c r="C4" s="67"/>
      <c r="D4" s="102"/>
      <c r="E4" s="115"/>
      <c r="F4" s="107"/>
      <c r="G4" s="110"/>
      <c r="H4" s="111"/>
      <c r="I4" s="107"/>
      <c r="J4" s="107"/>
      <c r="K4" s="49" t="e">
        <f>#REF!+G4-H4</f>
        <v>#REF!</v>
      </c>
    </row>
    <row r="5" spans="1:11" x14ac:dyDescent="0.25">
      <c r="A5" s="102"/>
      <c r="B5" s="102"/>
      <c r="C5" s="67"/>
      <c r="D5" s="102"/>
      <c r="E5" s="115"/>
      <c r="F5" s="107"/>
      <c r="G5" s="110"/>
      <c r="H5" s="111"/>
      <c r="I5" s="107"/>
      <c r="J5" s="107"/>
      <c r="K5" s="49" t="e">
        <f>K4+G5-H5</f>
        <v>#REF!</v>
      </c>
    </row>
    <row r="6" spans="1:11" x14ac:dyDescent="0.25">
      <c r="A6" s="102"/>
      <c r="B6" s="102"/>
      <c r="C6" s="67"/>
      <c r="D6" s="102"/>
      <c r="E6" s="115"/>
      <c r="F6" s="107"/>
      <c r="G6" s="110"/>
      <c r="H6" s="111"/>
      <c r="I6" s="107"/>
      <c r="J6" s="107"/>
      <c r="K6" s="49" t="e">
        <f t="shared" ref="K6:K31" si="0">K5+G6-H6</f>
        <v>#REF!</v>
      </c>
    </row>
    <row r="7" spans="1:11" x14ac:dyDescent="0.25">
      <c r="A7" s="102"/>
      <c r="B7" s="102"/>
      <c r="C7" s="67"/>
      <c r="D7" s="102"/>
      <c r="E7" s="115"/>
      <c r="F7" s="107"/>
      <c r="G7" s="110"/>
      <c r="H7" s="111"/>
      <c r="I7" s="107"/>
      <c r="J7" s="103"/>
      <c r="K7" s="49" t="e">
        <f t="shared" si="0"/>
        <v>#REF!</v>
      </c>
    </row>
    <row r="8" spans="1:11" x14ac:dyDescent="0.25">
      <c r="A8" s="102"/>
      <c r="B8" s="102"/>
      <c r="C8" s="67"/>
      <c r="D8" s="102"/>
      <c r="E8" s="115"/>
      <c r="F8" s="107"/>
      <c r="G8" s="110"/>
      <c r="H8" s="111"/>
      <c r="I8" s="107"/>
      <c r="J8" s="107"/>
      <c r="K8" s="49" t="e">
        <f t="shared" si="0"/>
        <v>#REF!</v>
      </c>
    </row>
    <row r="9" spans="1:11" x14ac:dyDescent="0.25">
      <c r="A9" s="102"/>
      <c r="B9" s="102"/>
      <c r="C9" s="67"/>
      <c r="D9" s="102"/>
      <c r="E9" s="115"/>
      <c r="F9" s="107"/>
      <c r="G9" s="110"/>
      <c r="H9" s="111"/>
      <c r="I9" s="107"/>
      <c r="J9" s="107"/>
      <c r="K9" s="49" t="e">
        <f t="shared" si="0"/>
        <v>#REF!</v>
      </c>
    </row>
    <row r="10" spans="1:11" x14ac:dyDescent="0.25">
      <c r="A10" s="102"/>
      <c r="B10" s="102"/>
      <c r="C10" s="67"/>
      <c r="D10" s="102"/>
      <c r="E10" s="115"/>
      <c r="F10" s="107"/>
      <c r="G10" s="110"/>
      <c r="H10" s="111"/>
      <c r="I10" s="107"/>
      <c r="J10" s="107"/>
      <c r="K10" s="49" t="e">
        <f t="shared" si="0"/>
        <v>#REF!</v>
      </c>
    </row>
    <row r="11" spans="1:11" x14ac:dyDescent="0.25">
      <c r="A11" s="102"/>
      <c r="B11" s="102"/>
      <c r="C11" s="67"/>
      <c r="D11" s="102"/>
      <c r="E11" s="115"/>
      <c r="F11" s="107"/>
      <c r="G11" s="110"/>
      <c r="H11" s="111"/>
      <c r="I11" s="107"/>
      <c r="J11" s="107"/>
      <c r="K11" s="49" t="e">
        <f t="shared" si="0"/>
        <v>#REF!</v>
      </c>
    </row>
    <row r="12" spans="1:11" x14ac:dyDescent="0.25">
      <c r="A12" s="102"/>
      <c r="B12" s="102"/>
      <c r="C12" s="67"/>
      <c r="D12" s="102"/>
      <c r="E12" s="115"/>
      <c r="F12" s="107"/>
      <c r="G12" s="110"/>
      <c r="H12" s="111"/>
      <c r="I12" s="107"/>
      <c r="J12" s="108"/>
      <c r="K12" s="49" t="e">
        <f t="shared" si="0"/>
        <v>#REF!</v>
      </c>
    </row>
    <row r="13" spans="1:11" x14ac:dyDescent="0.25">
      <c r="A13" s="102"/>
      <c r="B13" s="102"/>
      <c r="C13" s="67"/>
      <c r="D13" s="102"/>
      <c r="E13" s="115"/>
      <c r="F13" s="107"/>
      <c r="G13" s="110"/>
      <c r="H13" s="111"/>
      <c r="I13" s="107"/>
      <c r="J13" s="108"/>
      <c r="K13" s="49" t="e">
        <f t="shared" si="0"/>
        <v>#REF!</v>
      </c>
    </row>
    <row r="14" spans="1:11" x14ac:dyDescent="0.25">
      <c r="A14" s="102"/>
      <c r="B14" s="102"/>
      <c r="C14" s="67"/>
      <c r="D14" s="102"/>
      <c r="E14" s="115"/>
      <c r="F14" s="107"/>
      <c r="G14" s="110"/>
      <c r="H14" s="111"/>
      <c r="I14" s="107"/>
      <c r="J14" s="108"/>
      <c r="K14" s="49" t="e">
        <f t="shared" si="0"/>
        <v>#REF!</v>
      </c>
    </row>
    <row r="15" spans="1:11" x14ac:dyDescent="0.25">
      <c r="A15" s="102"/>
      <c r="B15" s="102"/>
      <c r="C15" s="67"/>
      <c r="D15" s="102"/>
      <c r="E15" s="115"/>
      <c r="F15" s="107"/>
      <c r="G15" s="110"/>
      <c r="H15" s="111"/>
      <c r="I15" s="107"/>
      <c r="J15" s="107"/>
      <c r="K15" s="49" t="e">
        <f t="shared" si="0"/>
        <v>#REF!</v>
      </c>
    </row>
    <row r="16" spans="1:11" x14ac:dyDescent="0.25">
      <c r="A16" s="102"/>
      <c r="B16" s="102"/>
      <c r="C16" s="67"/>
      <c r="D16" s="102"/>
      <c r="E16" s="115"/>
      <c r="F16" s="107"/>
      <c r="G16" s="110"/>
      <c r="H16" s="111"/>
      <c r="I16" s="107"/>
      <c r="J16" s="107"/>
      <c r="K16" s="49" t="e">
        <f t="shared" si="0"/>
        <v>#REF!</v>
      </c>
    </row>
    <row r="17" spans="1:11" x14ac:dyDescent="0.25">
      <c r="A17" s="102"/>
      <c r="B17" s="102"/>
      <c r="C17" s="67"/>
      <c r="D17" s="102"/>
      <c r="E17" s="115"/>
      <c r="F17" s="107"/>
      <c r="G17" s="110"/>
      <c r="H17" s="111"/>
      <c r="I17" s="107"/>
      <c r="J17" s="107"/>
      <c r="K17" s="49" t="e">
        <f t="shared" si="0"/>
        <v>#REF!</v>
      </c>
    </row>
    <row r="18" spans="1:11" x14ac:dyDescent="0.25">
      <c r="A18" s="102"/>
      <c r="B18" s="102"/>
      <c r="C18" s="67"/>
      <c r="D18" s="102"/>
      <c r="E18" s="115"/>
      <c r="F18" s="107"/>
      <c r="G18" s="110"/>
      <c r="H18" s="111"/>
      <c r="I18" s="107"/>
      <c r="J18" s="107"/>
      <c r="K18" s="49" t="e">
        <f t="shared" si="0"/>
        <v>#REF!</v>
      </c>
    </row>
    <row r="19" spans="1:11" x14ac:dyDescent="0.25">
      <c r="A19" s="102"/>
      <c r="B19" s="102"/>
      <c r="C19" s="67"/>
      <c r="D19" s="102"/>
      <c r="E19" s="115"/>
      <c r="F19" s="107"/>
      <c r="G19" s="110"/>
      <c r="H19" s="111"/>
      <c r="I19" s="107"/>
      <c r="J19" s="107"/>
      <c r="K19" s="49" t="e">
        <f t="shared" si="0"/>
        <v>#REF!</v>
      </c>
    </row>
    <row r="20" spans="1:11" x14ac:dyDescent="0.25">
      <c r="A20" s="102"/>
      <c r="B20" s="102"/>
      <c r="C20" s="67"/>
      <c r="D20" s="102"/>
      <c r="E20" s="115"/>
      <c r="F20" s="107"/>
      <c r="G20" s="110"/>
      <c r="H20" s="111"/>
      <c r="I20" s="107"/>
      <c r="J20" s="107"/>
      <c r="K20" s="49" t="e">
        <f t="shared" si="0"/>
        <v>#REF!</v>
      </c>
    </row>
    <row r="21" spans="1:11" x14ac:dyDescent="0.25">
      <c r="A21" s="102"/>
      <c r="B21" s="102"/>
      <c r="C21" s="67"/>
      <c r="D21" s="102"/>
      <c r="E21" s="115"/>
      <c r="F21" s="107"/>
      <c r="G21" s="110"/>
      <c r="H21" s="111"/>
      <c r="I21" s="107"/>
      <c r="J21" s="107"/>
      <c r="K21" s="49" t="e">
        <f t="shared" si="0"/>
        <v>#REF!</v>
      </c>
    </row>
    <row r="22" spans="1:11" x14ac:dyDescent="0.25">
      <c r="A22" s="102"/>
      <c r="B22" s="102"/>
      <c r="C22" s="67"/>
      <c r="D22" s="102"/>
      <c r="E22" s="115"/>
      <c r="F22" s="107"/>
      <c r="G22" s="110"/>
      <c r="H22" s="111"/>
      <c r="I22" s="107"/>
      <c r="J22" s="107"/>
      <c r="K22" s="49" t="e">
        <f t="shared" si="0"/>
        <v>#REF!</v>
      </c>
    </row>
    <row r="23" spans="1:11" x14ac:dyDescent="0.25">
      <c r="A23" s="102"/>
      <c r="B23" s="102"/>
      <c r="C23" s="67"/>
      <c r="D23" s="102"/>
      <c r="E23" s="115"/>
      <c r="F23" s="107"/>
      <c r="G23" s="110"/>
      <c r="H23" s="111"/>
      <c r="I23" s="107"/>
      <c r="J23" s="107"/>
      <c r="K23" s="49" t="e">
        <f t="shared" si="0"/>
        <v>#REF!</v>
      </c>
    </row>
    <row r="24" spans="1:11" x14ac:dyDescent="0.25">
      <c r="A24" s="102"/>
      <c r="B24" s="102"/>
      <c r="C24" s="67"/>
      <c r="D24" s="102"/>
      <c r="E24" s="115"/>
      <c r="F24" s="107"/>
      <c r="G24" s="110"/>
      <c r="H24" s="111"/>
      <c r="I24" s="107"/>
      <c r="J24" s="107"/>
      <c r="K24" s="49" t="e">
        <f t="shared" si="0"/>
        <v>#REF!</v>
      </c>
    </row>
    <row r="25" spans="1:11" x14ac:dyDescent="0.25">
      <c r="A25" s="102"/>
      <c r="B25" s="102"/>
      <c r="C25" s="67"/>
      <c r="D25" s="102"/>
      <c r="E25" s="115"/>
      <c r="F25" s="107"/>
      <c r="G25" s="110"/>
      <c r="H25" s="111"/>
      <c r="I25" s="107"/>
      <c r="J25" s="107"/>
      <c r="K25" s="49" t="e">
        <f t="shared" si="0"/>
        <v>#REF!</v>
      </c>
    </row>
    <row r="26" spans="1:11" x14ac:dyDescent="0.25">
      <c r="A26" s="102"/>
      <c r="B26" s="102"/>
      <c r="C26" s="67"/>
      <c r="D26" s="102"/>
      <c r="E26" s="115"/>
      <c r="F26" s="107"/>
      <c r="G26" s="110"/>
      <c r="H26" s="111"/>
      <c r="I26" s="107"/>
      <c r="J26" s="107"/>
      <c r="K26" s="49" t="e">
        <f t="shared" si="0"/>
        <v>#REF!</v>
      </c>
    </row>
    <row r="27" spans="1:11" x14ac:dyDescent="0.25">
      <c r="A27" s="102"/>
      <c r="B27" s="102"/>
      <c r="C27" s="67"/>
      <c r="D27" s="102"/>
      <c r="E27" s="115"/>
      <c r="F27" s="107"/>
      <c r="G27" s="110"/>
      <c r="H27" s="111"/>
      <c r="I27" s="107"/>
      <c r="J27" s="107"/>
      <c r="K27" s="49" t="e">
        <f t="shared" si="0"/>
        <v>#REF!</v>
      </c>
    </row>
    <row r="28" spans="1:11" x14ac:dyDescent="0.25">
      <c r="A28" s="102"/>
      <c r="B28" s="102"/>
      <c r="C28" s="67"/>
      <c r="D28" s="102"/>
      <c r="E28" s="115"/>
      <c r="F28" s="107"/>
      <c r="G28" s="110"/>
      <c r="H28" s="111"/>
      <c r="I28" s="107"/>
      <c r="J28" s="107"/>
      <c r="K28" s="49" t="e">
        <f t="shared" si="0"/>
        <v>#REF!</v>
      </c>
    </row>
    <row r="29" spans="1:11" x14ac:dyDescent="0.25">
      <c r="A29" s="102"/>
      <c r="B29" s="102"/>
      <c r="C29" s="67"/>
      <c r="D29" s="102"/>
      <c r="E29" s="115"/>
      <c r="F29" s="107"/>
      <c r="G29" s="110"/>
      <c r="H29" s="111"/>
      <c r="I29" s="107"/>
      <c r="J29" s="107"/>
      <c r="K29" s="49" t="e">
        <f t="shared" si="0"/>
        <v>#REF!</v>
      </c>
    </row>
    <row r="30" spans="1:11" x14ac:dyDescent="0.25">
      <c r="A30" s="102"/>
      <c r="B30" s="102"/>
      <c r="C30" s="67"/>
      <c r="D30" s="102"/>
      <c r="E30" s="115"/>
      <c r="F30" s="107"/>
      <c r="G30" s="110"/>
      <c r="H30" s="111"/>
      <c r="I30" s="107"/>
      <c r="J30" s="107"/>
      <c r="K30" s="49" t="e">
        <f t="shared" si="0"/>
        <v>#REF!</v>
      </c>
    </row>
    <row r="31" spans="1:11" ht="18" thickBot="1" x14ac:dyDescent="0.3">
      <c r="A31" s="102"/>
      <c r="B31" s="102"/>
      <c r="C31" s="67"/>
      <c r="D31" s="102"/>
      <c r="E31" s="115"/>
      <c r="F31" s="107"/>
      <c r="G31" s="110"/>
      <c r="H31" s="111"/>
      <c r="I31" s="107"/>
      <c r="J31" s="107"/>
      <c r="K31" s="49" t="e">
        <f t="shared" si="0"/>
        <v>#REF!</v>
      </c>
    </row>
    <row r="32" spans="1:11" ht="20.399999999999999" thickTop="1" thickBot="1" x14ac:dyDescent="0.3">
      <c r="A32" s="135" t="s">
        <v>407</v>
      </c>
      <c r="B32" s="136"/>
      <c r="C32" s="136"/>
      <c r="D32" s="136"/>
      <c r="E32" s="136"/>
      <c r="F32" s="137"/>
      <c r="G32" s="98">
        <f>SUM(G4:G31)</f>
        <v>0</v>
      </c>
      <c r="H32" s="98">
        <f>SUM(H4:H31)</f>
        <v>0</v>
      </c>
      <c r="I32" s="127" t="s">
        <v>30</v>
      </c>
      <c r="J32" s="77" t="e">
        <f>K31</f>
        <v>#REF!</v>
      </c>
      <c r="K32" s="49"/>
    </row>
  </sheetData>
  <autoFilter ref="A3:L3"/>
  <mergeCells count="1">
    <mergeCell ref="A32:F32"/>
  </mergeCells>
  <phoneticPr fontId="19" type="noConversion"/>
  <pageMargins left="0.25" right="0.25" top="0.75" bottom="0.75" header="0.30000001192092896" footer="0.30000001192092896"/>
  <pageSetup paperSize="9" scale="65" fitToHeight="0" orientation="portrait" horizontalDpi="4294967293" r:id="rId1"/>
  <headerFooter alignWithMargins="0">
    <oddFooter>&amp;C&amp;"맑은 고딕,Regular"&amp;P  of 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indexed="21"/>
    <pageSetUpPr fitToPage="1"/>
  </sheetPr>
  <dimension ref="A1:K19"/>
  <sheetViews>
    <sheetView showGridLines="0" zoomScaleNormal="100" zoomScaleSheetLayoutView="75" workbookViewId="0">
      <pane xSplit="3" ySplit="3" topLeftCell="D4" activePane="bottomRight" state="frozen"/>
      <selection activeCell="J376" sqref="J376"/>
      <selection pane="topRight"/>
      <selection pane="bottomLeft"/>
      <selection pane="bottomRight" activeCell="O13" sqref="O13"/>
    </sheetView>
  </sheetViews>
  <sheetFormatPr defaultColWidth="8.8984375" defaultRowHeight="17.399999999999999" x14ac:dyDescent="0.25"/>
  <cols>
    <col min="1" max="2" width="5.09765625" style="2" customWidth="1"/>
    <col min="3" max="3" width="14.19921875" style="2" bestFit="1" customWidth="1"/>
    <col min="4" max="4" width="7.09765625" style="2" bestFit="1" customWidth="1"/>
    <col min="5" max="5" width="12.796875" style="2" bestFit="1" customWidth="1"/>
    <col min="6" max="6" width="23.8984375" style="5" bestFit="1" customWidth="1"/>
    <col min="7" max="7" width="11.09765625" style="43" customWidth="1"/>
    <col min="8" max="8" width="10.8984375" style="41" customWidth="1"/>
    <col min="9" max="9" width="13.3984375" style="5" customWidth="1"/>
    <col min="10" max="10" width="27.09765625" style="2" bestFit="1" customWidth="1"/>
    <col min="11" max="11" width="8.59765625" style="49" bestFit="1" customWidth="1"/>
    <col min="12" max="14" width="13" style="2" customWidth="1"/>
    <col min="15" max="16384" width="8.8984375" style="2"/>
  </cols>
  <sheetData>
    <row r="1" spans="1:11" ht="25.2" x14ac:dyDescent="0.25">
      <c r="A1" s="8" t="s">
        <v>393</v>
      </c>
      <c r="B1" s="8"/>
      <c r="C1" s="8"/>
      <c r="D1" s="8"/>
      <c r="E1" s="8"/>
      <c r="F1" s="8"/>
    </row>
    <row r="2" spans="1:11" x14ac:dyDescent="0.25">
      <c r="I2" s="7"/>
      <c r="J2" s="4"/>
    </row>
    <row r="3" spans="1:11" s="3" customFormat="1" ht="37.5" customHeight="1" x14ac:dyDescent="0.25">
      <c r="A3" s="6" t="s">
        <v>277</v>
      </c>
      <c r="B3" s="6" t="s">
        <v>278</v>
      </c>
      <c r="C3" s="9" t="s">
        <v>204</v>
      </c>
      <c r="D3" s="6" t="s">
        <v>324</v>
      </c>
      <c r="E3" s="6" t="s">
        <v>352</v>
      </c>
      <c r="F3" s="6" t="s">
        <v>272</v>
      </c>
      <c r="G3" s="47"/>
      <c r="H3" s="48"/>
      <c r="I3" s="6"/>
      <c r="J3" s="6"/>
      <c r="K3" s="53"/>
    </row>
    <row r="4" spans="1:11" x14ac:dyDescent="0.25">
      <c r="A4" s="102"/>
      <c r="B4" s="102"/>
      <c r="C4" s="67"/>
      <c r="D4" s="102"/>
      <c r="E4" s="115"/>
      <c r="F4" s="107"/>
      <c r="G4" s="110"/>
      <c r="H4" s="111"/>
      <c r="I4" s="107"/>
      <c r="J4" s="107"/>
      <c r="K4" s="49" t="e">
        <f>#REF!+G4-H4</f>
        <v>#REF!</v>
      </c>
    </row>
    <row r="5" spans="1:11" x14ac:dyDescent="0.25">
      <c r="A5" s="102"/>
      <c r="B5" s="102"/>
      <c r="C5" s="67"/>
      <c r="D5" s="102"/>
      <c r="E5" s="115"/>
      <c r="F5" s="107"/>
      <c r="G5" s="110"/>
      <c r="H5" s="111"/>
      <c r="I5" s="107"/>
      <c r="J5" s="107"/>
      <c r="K5" s="49" t="e">
        <f>K4+G5-H5</f>
        <v>#REF!</v>
      </c>
    </row>
    <row r="6" spans="1:11" x14ac:dyDescent="0.25">
      <c r="A6" s="102"/>
      <c r="B6" s="102"/>
      <c r="C6" s="67"/>
      <c r="D6" s="102"/>
      <c r="E6" s="115"/>
      <c r="F6" s="107"/>
      <c r="G6" s="110"/>
      <c r="H6" s="111"/>
      <c r="I6" s="107"/>
      <c r="J6" s="107"/>
      <c r="K6" s="49" t="e">
        <f t="shared" ref="K6:K18" si="0">K5+G6-H6</f>
        <v>#REF!</v>
      </c>
    </row>
    <row r="7" spans="1:11" x14ac:dyDescent="0.25">
      <c r="A7" s="102"/>
      <c r="B7" s="102"/>
      <c r="C7" s="67"/>
      <c r="D7" s="102"/>
      <c r="E7" s="115"/>
      <c r="F7" s="107"/>
      <c r="G7" s="110"/>
      <c r="H7" s="111"/>
      <c r="I7" s="107"/>
      <c r="J7" s="107"/>
      <c r="K7" s="49" t="e">
        <f t="shared" si="0"/>
        <v>#REF!</v>
      </c>
    </row>
    <row r="8" spans="1:11" x14ac:dyDescent="0.25">
      <c r="A8" s="102"/>
      <c r="B8" s="102"/>
      <c r="C8" s="67"/>
      <c r="D8" s="102"/>
      <c r="E8" s="115"/>
      <c r="F8" s="107"/>
      <c r="G8" s="110"/>
      <c r="H8" s="111"/>
      <c r="I8" s="107"/>
      <c r="J8" s="107"/>
      <c r="K8" s="49" t="e">
        <f t="shared" si="0"/>
        <v>#REF!</v>
      </c>
    </row>
    <row r="9" spans="1:11" x14ac:dyDescent="0.25">
      <c r="A9" s="102"/>
      <c r="B9" s="102"/>
      <c r="C9" s="67"/>
      <c r="D9" s="102"/>
      <c r="E9" s="115"/>
      <c r="F9" s="107"/>
      <c r="G9" s="110"/>
      <c r="H9" s="111"/>
      <c r="I9" s="107"/>
      <c r="J9" s="107"/>
      <c r="K9" s="49" t="e">
        <f t="shared" si="0"/>
        <v>#REF!</v>
      </c>
    </row>
    <row r="10" spans="1:11" x14ac:dyDescent="0.25">
      <c r="A10" s="102"/>
      <c r="B10" s="102"/>
      <c r="C10" s="67"/>
      <c r="D10" s="102"/>
      <c r="E10" s="115"/>
      <c r="F10" s="107"/>
      <c r="G10" s="110"/>
      <c r="H10" s="111"/>
      <c r="I10" s="107"/>
      <c r="J10" s="107"/>
      <c r="K10" s="49" t="e">
        <f t="shared" si="0"/>
        <v>#REF!</v>
      </c>
    </row>
    <row r="11" spans="1:11" x14ac:dyDescent="0.25">
      <c r="A11" s="102"/>
      <c r="B11" s="102"/>
      <c r="C11" s="67"/>
      <c r="D11" s="102"/>
      <c r="E11" s="115"/>
      <c r="F11" s="107"/>
      <c r="G11" s="110"/>
      <c r="H11" s="111"/>
      <c r="I11" s="107"/>
      <c r="J11" s="107"/>
      <c r="K11" s="49" t="e">
        <f t="shared" si="0"/>
        <v>#REF!</v>
      </c>
    </row>
    <row r="12" spans="1:11" x14ac:dyDescent="0.25">
      <c r="A12" s="102"/>
      <c r="B12" s="102"/>
      <c r="C12" s="67"/>
      <c r="D12" s="102"/>
      <c r="E12" s="115"/>
      <c r="F12" s="107"/>
      <c r="G12" s="110"/>
      <c r="H12" s="111"/>
      <c r="I12" s="107"/>
      <c r="J12" s="107"/>
      <c r="K12" s="49" t="e">
        <f t="shared" si="0"/>
        <v>#REF!</v>
      </c>
    </row>
    <row r="13" spans="1:11" x14ac:dyDescent="0.25">
      <c r="A13" s="102"/>
      <c r="B13" s="102"/>
      <c r="C13" s="67"/>
      <c r="D13" s="102"/>
      <c r="E13" s="115"/>
      <c r="F13" s="107"/>
      <c r="G13" s="110"/>
      <c r="H13" s="111"/>
      <c r="I13" s="107"/>
      <c r="J13" s="107"/>
      <c r="K13" s="49" t="e">
        <f t="shared" si="0"/>
        <v>#REF!</v>
      </c>
    </row>
    <row r="14" spans="1:11" x14ac:dyDescent="0.25">
      <c r="A14" s="102"/>
      <c r="B14" s="102"/>
      <c r="C14" s="67"/>
      <c r="D14" s="102"/>
      <c r="E14" s="115"/>
      <c r="F14" s="107"/>
      <c r="G14" s="110"/>
      <c r="H14" s="111"/>
      <c r="I14" s="107"/>
      <c r="J14" s="107"/>
      <c r="K14" s="49" t="e">
        <f t="shared" si="0"/>
        <v>#REF!</v>
      </c>
    </row>
    <row r="15" spans="1:11" x14ac:dyDescent="0.25">
      <c r="A15" s="102"/>
      <c r="B15" s="102"/>
      <c r="C15" s="67"/>
      <c r="D15" s="102"/>
      <c r="E15" s="115"/>
      <c r="F15" s="107"/>
      <c r="G15" s="110"/>
      <c r="H15" s="111"/>
      <c r="I15" s="107"/>
      <c r="J15" s="107"/>
      <c r="K15" s="49" t="e">
        <f t="shared" si="0"/>
        <v>#REF!</v>
      </c>
    </row>
    <row r="16" spans="1:11" x14ac:dyDescent="0.25">
      <c r="A16" s="102"/>
      <c r="B16" s="102"/>
      <c r="C16" s="67"/>
      <c r="D16" s="102"/>
      <c r="E16" s="115"/>
      <c r="F16" s="107"/>
      <c r="G16" s="110"/>
      <c r="H16" s="111"/>
      <c r="I16" s="107"/>
      <c r="J16" s="107"/>
      <c r="K16" s="49" t="e">
        <f t="shared" si="0"/>
        <v>#REF!</v>
      </c>
    </row>
    <row r="17" spans="1:11" x14ac:dyDescent="0.25">
      <c r="A17" s="102"/>
      <c r="B17" s="102"/>
      <c r="C17" s="67"/>
      <c r="D17" s="102"/>
      <c r="E17" s="115"/>
      <c r="F17" s="107"/>
      <c r="G17" s="110"/>
      <c r="H17" s="111"/>
      <c r="I17" s="107"/>
      <c r="J17" s="107"/>
      <c r="K17" s="49" t="e">
        <f t="shared" si="0"/>
        <v>#REF!</v>
      </c>
    </row>
    <row r="18" spans="1:11" ht="18" thickBot="1" x14ac:dyDescent="0.3">
      <c r="A18" s="102"/>
      <c r="B18" s="102"/>
      <c r="C18" s="67"/>
      <c r="D18" s="102"/>
      <c r="E18" s="115"/>
      <c r="F18" s="107"/>
      <c r="G18" s="110"/>
      <c r="H18" s="111"/>
      <c r="I18" s="107"/>
      <c r="J18" s="107"/>
      <c r="K18" s="49" t="e">
        <f t="shared" si="0"/>
        <v>#REF!</v>
      </c>
    </row>
    <row r="19" spans="1:11" ht="20.399999999999999" thickTop="1" thickBot="1" x14ac:dyDescent="0.3">
      <c r="A19" s="135" t="s">
        <v>408</v>
      </c>
      <c r="B19" s="136"/>
      <c r="C19" s="136"/>
      <c r="D19" s="136"/>
      <c r="E19" s="136"/>
      <c r="F19" s="137"/>
      <c r="G19" s="98">
        <f>SUM(G4:G18)</f>
        <v>0</v>
      </c>
      <c r="H19" s="98">
        <f>SUM(H4:H18)</f>
        <v>0</v>
      </c>
      <c r="I19" s="127" t="s">
        <v>30</v>
      </c>
      <c r="J19" s="77" t="e">
        <f>K18</f>
        <v>#REF!</v>
      </c>
    </row>
  </sheetData>
  <autoFilter ref="A3:K3"/>
  <mergeCells count="1">
    <mergeCell ref="A19:F19"/>
  </mergeCells>
  <phoneticPr fontId="19" type="noConversion"/>
  <pageMargins left="0.25" right="0.25" top="0.75" bottom="0.75" header="0.30000001192092896" footer="0.30000001192092896"/>
  <pageSetup paperSize="9" scale="61" fitToHeight="0" orientation="portrait" horizontalDpi="4294967293" r:id="rId1"/>
  <headerFooter alignWithMargins="0">
    <oddFooter>&amp;C&amp;"맑은 고딕,Regular"&amp;P  of 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indexed="21"/>
    <pageSetUpPr fitToPage="1"/>
  </sheetPr>
  <dimension ref="A1:K40"/>
  <sheetViews>
    <sheetView showGridLines="0" zoomScale="98" zoomScaleNormal="98" zoomScaleSheetLayoutView="75" workbookViewId="0">
      <pane xSplit="3" ySplit="3" topLeftCell="D4" activePane="bottomRight" state="frozen"/>
      <selection activeCell="A494" sqref="A494:F494"/>
      <selection pane="topRight"/>
      <selection pane="bottomLeft"/>
      <selection pane="bottomRight" activeCell="H36" sqref="H36"/>
    </sheetView>
  </sheetViews>
  <sheetFormatPr defaultColWidth="8.8984375" defaultRowHeight="17.399999999999999" x14ac:dyDescent="0.25"/>
  <cols>
    <col min="1" max="2" width="5.09765625" style="2" customWidth="1"/>
    <col min="3" max="3" width="14.19921875" style="2" bestFit="1" customWidth="1"/>
    <col min="4" max="4" width="7.09765625" style="2" bestFit="1" customWidth="1"/>
    <col min="5" max="5" width="13" style="2" customWidth="1"/>
    <col min="6" max="6" width="23.8984375" style="5" bestFit="1" customWidth="1"/>
    <col min="7" max="7" width="10.3984375" style="43" customWidth="1"/>
    <col min="8" max="8" width="12.19921875" style="41" customWidth="1"/>
    <col min="9" max="9" width="10.19921875" style="5" customWidth="1"/>
    <col min="10" max="10" width="20.3984375" style="2" customWidth="1"/>
    <col min="11" max="11" width="9.296875" style="49" bestFit="1" customWidth="1"/>
    <col min="12" max="14" width="13" style="2" customWidth="1"/>
    <col min="15" max="16384" width="8.8984375" style="2"/>
  </cols>
  <sheetData>
    <row r="1" spans="1:11" ht="25.2" x14ac:dyDescent="0.25">
      <c r="A1" s="8" t="s">
        <v>394</v>
      </c>
      <c r="B1" s="8"/>
      <c r="C1" s="8"/>
      <c r="D1" s="8"/>
      <c r="E1" s="5"/>
    </row>
    <row r="2" spans="1:11" x14ac:dyDescent="0.25">
      <c r="I2" s="7"/>
      <c r="J2" s="4" t="s">
        <v>286</v>
      </c>
    </row>
    <row r="3" spans="1:11" s="3" customFormat="1" ht="37.5" customHeight="1" x14ac:dyDescent="0.25">
      <c r="A3" s="6" t="s">
        <v>277</v>
      </c>
      <c r="B3" s="6" t="s">
        <v>278</v>
      </c>
      <c r="C3" s="9" t="s">
        <v>204</v>
      </c>
      <c r="D3" s="6" t="s">
        <v>324</v>
      </c>
      <c r="E3" s="6" t="s">
        <v>352</v>
      </c>
      <c r="F3" s="6" t="s">
        <v>272</v>
      </c>
      <c r="G3" s="47" t="s">
        <v>282</v>
      </c>
      <c r="H3" s="48" t="s">
        <v>291</v>
      </c>
      <c r="I3" s="6" t="s">
        <v>274</v>
      </c>
      <c r="J3" s="6" t="s">
        <v>275</v>
      </c>
      <c r="K3" s="53" t="s">
        <v>288</v>
      </c>
    </row>
    <row r="4" spans="1:11" x14ac:dyDescent="0.25">
      <c r="A4" s="102" t="s">
        <v>48</v>
      </c>
      <c r="B4" s="102" t="s">
        <v>52</v>
      </c>
      <c r="C4" s="67"/>
      <c r="D4" s="102"/>
      <c r="E4" s="115"/>
      <c r="F4" s="107"/>
      <c r="G4" s="110"/>
      <c r="H4" s="111"/>
      <c r="I4" s="107"/>
      <c r="J4" s="107"/>
      <c r="K4" s="49" t="e">
        <f>#REF!+G4-H4</f>
        <v>#REF!</v>
      </c>
    </row>
    <row r="5" spans="1:11" x14ac:dyDescent="0.25">
      <c r="A5" s="102" t="s">
        <v>48</v>
      </c>
      <c r="B5" s="102" t="s">
        <v>52</v>
      </c>
      <c r="C5" s="67"/>
      <c r="D5" s="102"/>
      <c r="E5" s="115"/>
      <c r="F5" s="107"/>
      <c r="G5" s="110"/>
      <c r="H5" s="111"/>
      <c r="I5" s="107"/>
      <c r="J5" s="107"/>
      <c r="K5" s="49" t="e">
        <f t="shared" ref="K5:K20" si="0">K4+G5-H5</f>
        <v>#REF!</v>
      </c>
    </row>
    <row r="6" spans="1:11" x14ac:dyDescent="0.25">
      <c r="A6" s="102" t="s">
        <v>48</v>
      </c>
      <c r="B6" s="102" t="s">
        <v>52</v>
      </c>
      <c r="C6" s="67"/>
      <c r="D6" s="102"/>
      <c r="E6" s="115"/>
      <c r="F6" s="107"/>
      <c r="G6" s="110"/>
      <c r="H6" s="111"/>
      <c r="I6" s="107"/>
      <c r="J6" s="107"/>
      <c r="K6" s="49" t="e">
        <f t="shared" si="0"/>
        <v>#REF!</v>
      </c>
    </row>
    <row r="7" spans="1:11" x14ac:dyDescent="0.25">
      <c r="A7" s="102" t="s">
        <v>48</v>
      </c>
      <c r="B7" s="102" t="s">
        <v>52</v>
      </c>
      <c r="C7" s="67"/>
      <c r="D7" s="102"/>
      <c r="E7" s="115"/>
      <c r="F7" s="107"/>
      <c r="G7" s="110"/>
      <c r="H7" s="111"/>
      <c r="I7" s="107"/>
      <c r="J7" s="107"/>
      <c r="K7" s="49" t="e">
        <f t="shared" si="0"/>
        <v>#REF!</v>
      </c>
    </row>
    <row r="8" spans="1:11" x14ac:dyDescent="0.25">
      <c r="A8" s="102" t="s">
        <v>48</v>
      </c>
      <c r="B8" s="102" t="s">
        <v>52</v>
      </c>
      <c r="C8" s="67"/>
      <c r="D8" s="102"/>
      <c r="E8" s="115"/>
      <c r="F8" s="107"/>
      <c r="G8" s="110"/>
      <c r="H8" s="111"/>
      <c r="I8" s="107"/>
      <c r="J8" s="107"/>
      <c r="K8" s="49" t="e">
        <f t="shared" si="0"/>
        <v>#REF!</v>
      </c>
    </row>
    <row r="9" spans="1:11" x14ac:dyDescent="0.25">
      <c r="A9" s="102" t="s">
        <v>48</v>
      </c>
      <c r="B9" s="102" t="s">
        <v>52</v>
      </c>
      <c r="C9" s="67"/>
      <c r="D9" s="102"/>
      <c r="E9" s="115"/>
      <c r="F9" s="107"/>
      <c r="G9" s="110"/>
      <c r="H9" s="111"/>
      <c r="I9" s="107"/>
      <c r="J9" s="107"/>
      <c r="K9" s="49" t="e">
        <f t="shared" si="0"/>
        <v>#REF!</v>
      </c>
    </row>
    <row r="10" spans="1:11" x14ac:dyDescent="0.25">
      <c r="A10" s="102" t="s">
        <v>48</v>
      </c>
      <c r="B10" s="102" t="s">
        <v>53</v>
      </c>
      <c r="C10" s="67"/>
      <c r="D10" s="102"/>
      <c r="E10" s="115"/>
      <c r="F10" s="107"/>
      <c r="G10" s="110"/>
      <c r="H10" s="111"/>
      <c r="I10" s="107"/>
      <c r="J10" s="107"/>
      <c r="K10" s="49" t="e">
        <f t="shared" si="0"/>
        <v>#REF!</v>
      </c>
    </row>
    <row r="11" spans="1:11" x14ac:dyDescent="0.25">
      <c r="A11" s="102" t="s">
        <v>48</v>
      </c>
      <c r="B11" s="102" t="s">
        <v>53</v>
      </c>
      <c r="C11" s="67"/>
      <c r="D11" s="102"/>
      <c r="E11" s="115"/>
      <c r="F11" s="107"/>
      <c r="G11" s="110"/>
      <c r="H11" s="111"/>
      <c r="I11" s="107"/>
      <c r="J11" s="107"/>
      <c r="K11" s="49" t="e">
        <f t="shared" si="0"/>
        <v>#REF!</v>
      </c>
    </row>
    <row r="12" spans="1:11" x14ac:dyDescent="0.25">
      <c r="A12" s="102" t="s">
        <v>48</v>
      </c>
      <c r="B12" s="102" t="s">
        <v>53</v>
      </c>
      <c r="C12" s="67"/>
      <c r="D12" s="102"/>
      <c r="E12" s="115"/>
      <c r="F12" s="107"/>
      <c r="G12" s="110"/>
      <c r="H12" s="111"/>
      <c r="I12" s="107"/>
      <c r="J12" s="107"/>
      <c r="K12" s="49" t="e">
        <f t="shared" si="0"/>
        <v>#REF!</v>
      </c>
    </row>
    <row r="13" spans="1:11" x14ac:dyDescent="0.25">
      <c r="A13" s="102" t="s">
        <v>48</v>
      </c>
      <c r="B13" s="102" t="s">
        <v>53</v>
      </c>
      <c r="C13" s="67"/>
      <c r="D13" s="102"/>
      <c r="E13" s="115"/>
      <c r="F13" s="107"/>
      <c r="G13" s="110"/>
      <c r="H13" s="111"/>
      <c r="I13" s="107"/>
      <c r="J13" s="107"/>
      <c r="K13" s="49" t="e">
        <f t="shared" si="0"/>
        <v>#REF!</v>
      </c>
    </row>
    <row r="14" spans="1:11" x14ac:dyDescent="0.25">
      <c r="A14" s="102" t="s">
        <v>48</v>
      </c>
      <c r="B14" s="102" t="s">
        <v>53</v>
      </c>
      <c r="C14" s="67"/>
      <c r="D14" s="102"/>
      <c r="E14" s="115"/>
      <c r="F14" s="107"/>
      <c r="G14" s="110"/>
      <c r="H14" s="111"/>
      <c r="I14" s="107"/>
      <c r="J14" s="107"/>
      <c r="K14" s="49" t="e">
        <f t="shared" si="0"/>
        <v>#REF!</v>
      </c>
    </row>
    <row r="15" spans="1:11" x14ac:dyDescent="0.25">
      <c r="A15" s="102" t="s">
        <v>48</v>
      </c>
      <c r="B15" s="102" t="s">
        <v>53</v>
      </c>
      <c r="C15" s="67"/>
      <c r="D15" s="102"/>
      <c r="E15" s="115"/>
      <c r="F15" s="107"/>
      <c r="G15" s="110"/>
      <c r="H15" s="111"/>
      <c r="I15" s="107"/>
      <c r="J15" s="107"/>
      <c r="K15" s="49" t="e">
        <f t="shared" si="0"/>
        <v>#REF!</v>
      </c>
    </row>
    <row r="16" spans="1:11" x14ac:dyDescent="0.25">
      <c r="A16" s="102" t="s">
        <v>48</v>
      </c>
      <c r="B16" s="102" t="s">
        <v>53</v>
      </c>
      <c r="C16" s="67"/>
      <c r="D16" s="102"/>
      <c r="E16" s="115"/>
      <c r="F16" s="107"/>
      <c r="G16" s="110"/>
      <c r="H16" s="111"/>
      <c r="I16" s="107"/>
      <c r="J16" s="107"/>
      <c r="K16" s="49" t="e">
        <f t="shared" si="0"/>
        <v>#REF!</v>
      </c>
    </row>
    <row r="17" spans="1:11" x14ac:dyDescent="0.25">
      <c r="A17" s="102" t="s">
        <v>48</v>
      </c>
      <c r="B17" s="102" t="s">
        <v>53</v>
      </c>
      <c r="C17" s="67"/>
      <c r="D17" s="102"/>
      <c r="E17" s="115"/>
      <c r="F17" s="107"/>
      <c r="G17" s="110"/>
      <c r="H17" s="111"/>
      <c r="I17" s="107"/>
      <c r="J17" s="107"/>
      <c r="K17" s="49" t="e">
        <f t="shared" si="0"/>
        <v>#REF!</v>
      </c>
    </row>
    <row r="18" spans="1:11" x14ac:dyDescent="0.25">
      <c r="A18" s="102" t="s">
        <v>48</v>
      </c>
      <c r="B18" s="102" t="s">
        <v>53</v>
      </c>
      <c r="C18" s="67"/>
      <c r="D18" s="102"/>
      <c r="E18" s="115"/>
      <c r="F18" s="107"/>
      <c r="G18" s="110"/>
      <c r="H18" s="111"/>
      <c r="I18" s="107"/>
      <c r="J18" s="107"/>
      <c r="K18" s="49" t="e">
        <f t="shared" si="0"/>
        <v>#REF!</v>
      </c>
    </row>
    <row r="19" spans="1:11" x14ac:dyDescent="0.25">
      <c r="A19" s="102" t="s">
        <v>48</v>
      </c>
      <c r="B19" s="102" t="s">
        <v>49</v>
      </c>
      <c r="C19" s="67"/>
      <c r="D19" s="102"/>
      <c r="E19" s="115"/>
      <c r="F19" s="107"/>
      <c r="G19" s="110"/>
      <c r="H19" s="111"/>
      <c r="I19" s="107"/>
      <c r="J19" s="107"/>
      <c r="K19" s="49" t="e">
        <f t="shared" si="0"/>
        <v>#REF!</v>
      </c>
    </row>
    <row r="20" spans="1:11" x14ac:dyDescent="0.25">
      <c r="A20" s="102" t="s">
        <v>48</v>
      </c>
      <c r="B20" s="102" t="s">
        <v>49</v>
      </c>
      <c r="C20" s="67"/>
      <c r="D20" s="102"/>
      <c r="E20" s="115"/>
      <c r="F20" s="107"/>
      <c r="G20" s="110"/>
      <c r="H20" s="111"/>
      <c r="I20" s="107"/>
      <c r="J20" s="107"/>
      <c r="K20" s="49" t="e">
        <f t="shared" si="0"/>
        <v>#REF!</v>
      </c>
    </row>
    <row r="21" spans="1:11" x14ac:dyDescent="0.25">
      <c r="A21" s="102" t="s">
        <v>48</v>
      </c>
      <c r="B21" s="102" t="s">
        <v>49</v>
      </c>
      <c r="C21" s="67"/>
      <c r="D21" s="102"/>
      <c r="E21" s="115"/>
      <c r="F21" s="107"/>
      <c r="G21" s="110"/>
      <c r="H21" s="111"/>
      <c r="I21" s="107"/>
      <c r="J21" s="107"/>
      <c r="K21" s="49" t="e">
        <f t="shared" ref="K21:K39" si="1">K20+G21-H21</f>
        <v>#REF!</v>
      </c>
    </row>
    <row r="22" spans="1:11" x14ac:dyDescent="0.25">
      <c r="A22" s="102" t="s">
        <v>48</v>
      </c>
      <c r="B22" s="102" t="s">
        <v>49</v>
      </c>
      <c r="C22" s="67"/>
      <c r="D22" s="102"/>
      <c r="E22" s="115"/>
      <c r="F22" s="107"/>
      <c r="G22" s="110"/>
      <c r="H22" s="111"/>
      <c r="I22" s="107"/>
      <c r="J22" s="107"/>
      <c r="K22" s="49" t="e">
        <f t="shared" si="1"/>
        <v>#REF!</v>
      </c>
    </row>
    <row r="23" spans="1:11" x14ac:dyDescent="0.25">
      <c r="A23" s="102" t="s">
        <v>48</v>
      </c>
      <c r="B23" s="102" t="s">
        <v>49</v>
      </c>
      <c r="C23" s="67"/>
      <c r="D23" s="102"/>
      <c r="E23" s="115"/>
      <c r="F23" s="107"/>
      <c r="G23" s="110"/>
      <c r="H23" s="111"/>
      <c r="I23" s="107"/>
      <c r="J23" s="107"/>
      <c r="K23" s="49" t="e">
        <f t="shared" si="1"/>
        <v>#REF!</v>
      </c>
    </row>
    <row r="24" spans="1:11" x14ac:dyDescent="0.25">
      <c r="A24" s="102" t="s">
        <v>48</v>
      </c>
      <c r="B24" s="102" t="s">
        <v>49</v>
      </c>
      <c r="C24" s="67"/>
      <c r="D24" s="102"/>
      <c r="E24" s="115"/>
      <c r="F24" s="107"/>
      <c r="G24" s="110"/>
      <c r="H24" s="111"/>
      <c r="I24" s="107"/>
      <c r="J24" s="107"/>
      <c r="K24" s="49" t="e">
        <f t="shared" si="1"/>
        <v>#REF!</v>
      </c>
    </row>
    <row r="25" spans="1:11" x14ac:dyDescent="0.25">
      <c r="A25" s="102" t="s">
        <v>48</v>
      </c>
      <c r="B25" s="102" t="s">
        <v>50</v>
      </c>
      <c r="C25" s="67"/>
      <c r="D25" s="102"/>
      <c r="E25" s="115"/>
      <c r="F25" s="107"/>
      <c r="G25" s="110"/>
      <c r="H25" s="111"/>
      <c r="I25" s="107"/>
      <c r="J25" s="107"/>
      <c r="K25" s="49" t="e">
        <f t="shared" si="1"/>
        <v>#REF!</v>
      </c>
    </row>
    <row r="26" spans="1:11" x14ac:dyDescent="0.25">
      <c r="A26" s="102" t="s">
        <v>48</v>
      </c>
      <c r="B26" s="102" t="s">
        <v>50</v>
      </c>
      <c r="C26" s="67"/>
      <c r="D26" s="102"/>
      <c r="E26" s="115"/>
      <c r="F26" s="107"/>
      <c r="G26" s="110"/>
      <c r="H26" s="111"/>
      <c r="I26" s="107"/>
      <c r="J26" s="107"/>
      <c r="K26" s="49" t="e">
        <f t="shared" si="1"/>
        <v>#REF!</v>
      </c>
    </row>
    <row r="27" spans="1:11" x14ac:dyDescent="0.25">
      <c r="A27" s="102" t="s">
        <v>48</v>
      </c>
      <c r="B27" s="102" t="s">
        <v>50</v>
      </c>
      <c r="C27" s="67"/>
      <c r="D27" s="102"/>
      <c r="E27" s="115"/>
      <c r="F27" s="107"/>
      <c r="G27" s="110"/>
      <c r="H27" s="111"/>
      <c r="I27" s="107"/>
      <c r="J27" s="107"/>
      <c r="K27" s="49" t="e">
        <f t="shared" si="1"/>
        <v>#REF!</v>
      </c>
    </row>
    <row r="28" spans="1:11" x14ac:dyDescent="0.25">
      <c r="A28" s="102" t="s">
        <v>48</v>
      </c>
      <c r="B28" s="102" t="s">
        <v>50</v>
      </c>
      <c r="C28" s="67"/>
      <c r="D28" s="102"/>
      <c r="E28" s="115"/>
      <c r="F28" s="107"/>
      <c r="G28" s="110"/>
      <c r="H28" s="111"/>
      <c r="I28" s="107"/>
      <c r="J28" s="107"/>
      <c r="K28" s="49" t="e">
        <f t="shared" si="1"/>
        <v>#REF!</v>
      </c>
    </row>
    <row r="29" spans="1:11" x14ac:dyDescent="0.25">
      <c r="A29" s="102" t="s">
        <v>48</v>
      </c>
      <c r="B29" s="102" t="s">
        <v>50</v>
      </c>
      <c r="C29" s="67"/>
      <c r="D29" s="102"/>
      <c r="E29" s="115"/>
      <c r="F29" s="107"/>
      <c r="G29" s="110"/>
      <c r="H29" s="111"/>
      <c r="I29" s="107"/>
      <c r="J29" s="107"/>
      <c r="K29" s="49" t="e">
        <f t="shared" si="1"/>
        <v>#REF!</v>
      </c>
    </row>
    <row r="30" spans="1:11" x14ac:dyDescent="0.25">
      <c r="A30" s="102" t="s">
        <v>48</v>
      </c>
      <c r="B30" s="102" t="s">
        <v>50</v>
      </c>
      <c r="C30" s="67"/>
      <c r="D30" s="102"/>
      <c r="E30" s="115"/>
      <c r="F30" s="107"/>
      <c r="G30" s="110"/>
      <c r="H30" s="111"/>
      <c r="I30" s="107"/>
      <c r="J30" s="107"/>
      <c r="K30" s="49" t="e">
        <f t="shared" si="1"/>
        <v>#REF!</v>
      </c>
    </row>
    <row r="31" spans="1:11" x14ac:dyDescent="0.25">
      <c r="A31" s="102" t="s">
        <v>48</v>
      </c>
      <c r="B31" s="102" t="s">
        <v>50</v>
      </c>
      <c r="C31" s="67"/>
      <c r="D31" s="102"/>
      <c r="E31" s="115"/>
      <c r="F31" s="107"/>
      <c r="G31" s="110"/>
      <c r="H31" s="111"/>
      <c r="I31" s="107"/>
      <c r="J31" s="107"/>
      <c r="K31" s="49" t="e">
        <f t="shared" si="1"/>
        <v>#REF!</v>
      </c>
    </row>
    <row r="32" spans="1:11" x14ac:dyDescent="0.25">
      <c r="A32" s="102" t="s">
        <v>48</v>
      </c>
      <c r="B32" s="102" t="s">
        <v>50</v>
      </c>
      <c r="C32" s="67"/>
      <c r="D32" s="102"/>
      <c r="E32" s="115"/>
      <c r="F32" s="107"/>
      <c r="G32" s="110"/>
      <c r="H32" s="111"/>
      <c r="I32" s="107"/>
      <c r="J32" s="107"/>
      <c r="K32" s="49" t="e">
        <f t="shared" si="1"/>
        <v>#REF!</v>
      </c>
    </row>
    <row r="33" spans="1:11" x14ac:dyDescent="0.25">
      <c r="A33" s="102" t="s">
        <v>48</v>
      </c>
      <c r="B33" s="102" t="s">
        <v>50</v>
      </c>
      <c r="C33" s="67"/>
      <c r="D33" s="102"/>
      <c r="E33" s="115"/>
      <c r="F33" s="107"/>
      <c r="G33" s="110"/>
      <c r="H33" s="111"/>
      <c r="I33" s="107"/>
      <c r="J33" s="107"/>
      <c r="K33" s="49" t="e">
        <f t="shared" si="1"/>
        <v>#REF!</v>
      </c>
    </row>
    <row r="34" spans="1:11" x14ac:dyDescent="0.25">
      <c r="A34" s="102" t="s">
        <v>48</v>
      </c>
      <c r="B34" s="102" t="s">
        <v>50</v>
      </c>
      <c r="C34" s="67"/>
      <c r="D34" s="102"/>
      <c r="E34" s="115"/>
      <c r="F34" s="107"/>
      <c r="G34" s="110"/>
      <c r="H34" s="111"/>
      <c r="I34" s="107"/>
      <c r="J34" s="107"/>
      <c r="K34" s="49" t="e">
        <f t="shared" si="1"/>
        <v>#REF!</v>
      </c>
    </row>
    <row r="35" spans="1:11" x14ac:dyDescent="0.25">
      <c r="A35" s="102" t="s">
        <v>48</v>
      </c>
      <c r="B35" s="102" t="s">
        <v>50</v>
      </c>
      <c r="C35" s="67"/>
      <c r="D35" s="102"/>
      <c r="E35" s="115"/>
      <c r="F35" s="107"/>
      <c r="G35" s="110"/>
      <c r="H35" s="111"/>
      <c r="I35" s="107"/>
      <c r="J35" s="107"/>
      <c r="K35" s="49" t="e">
        <f t="shared" si="1"/>
        <v>#REF!</v>
      </c>
    </row>
    <row r="36" spans="1:11" x14ac:dyDescent="0.25">
      <c r="A36" s="102" t="s">
        <v>48</v>
      </c>
      <c r="B36" s="102" t="s">
        <v>50</v>
      </c>
      <c r="C36" s="67"/>
      <c r="D36" s="102"/>
      <c r="E36" s="115"/>
      <c r="F36" s="107"/>
      <c r="G36" s="110"/>
      <c r="H36" s="111"/>
      <c r="I36" s="107"/>
      <c r="J36" s="107"/>
      <c r="K36" s="49" t="e">
        <f t="shared" si="1"/>
        <v>#REF!</v>
      </c>
    </row>
    <row r="37" spans="1:11" x14ac:dyDescent="0.25">
      <c r="A37" s="102" t="s">
        <v>48</v>
      </c>
      <c r="B37" s="102" t="s">
        <v>50</v>
      </c>
      <c r="C37" s="67"/>
      <c r="D37" s="102"/>
      <c r="E37" s="115"/>
      <c r="F37" s="107"/>
      <c r="G37" s="110"/>
      <c r="H37" s="111"/>
      <c r="I37" s="107"/>
      <c r="J37" s="107"/>
      <c r="K37" s="49" t="e">
        <f t="shared" si="1"/>
        <v>#REF!</v>
      </c>
    </row>
    <row r="38" spans="1:11" x14ac:dyDescent="0.25">
      <c r="A38" s="102" t="s">
        <v>48</v>
      </c>
      <c r="B38" s="102" t="s">
        <v>50</v>
      </c>
      <c r="C38" s="67"/>
      <c r="D38" s="102"/>
      <c r="E38" s="115"/>
      <c r="F38" s="107"/>
      <c r="G38" s="110"/>
      <c r="H38" s="111"/>
      <c r="I38" s="107"/>
      <c r="J38" s="107"/>
      <c r="K38" s="49" t="e">
        <f t="shared" si="1"/>
        <v>#REF!</v>
      </c>
    </row>
    <row r="39" spans="1:11" ht="18" thickBot="1" x14ac:dyDescent="0.3">
      <c r="A39" s="102" t="s">
        <v>48</v>
      </c>
      <c r="B39" s="102" t="s">
        <v>50</v>
      </c>
      <c r="C39" s="67"/>
      <c r="D39" s="102"/>
      <c r="E39" s="115"/>
      <c r="F39" s="107"/>
      <c r="G39" s="110"/>
      <c r="H39" s="111"/>
      <c r="I39" s="107"/>
      <c r="J39" s="107"/>
      <c r="K39" s="49" t="e">
        <f t="shared" si="1"/>
        <v>#REF!</v>
      </c>
    </row>
    <row r="40" spans="1:11" ht="20.399999999999999" thickTop="1" thickBot="1" x14ac:dyDescent="0.3">
      <c r="A40" s="135" t="s">
        <v>409</v>
      </c>
      <c r="B40" s="136"/>
      <c r="C40" s="136"/>
      <c r="D40" s="136"/>
      <c r="E40" s="136"/>
      <c r="F40" s="137"/>
      <c r="G40" s="98">
        <f>SUM(G4:G39)</f>
        <v>0</v>
      </c>
      <c r="H40" s="98">
        <f>SUM(H4:H39)</f>
        <v>0</v>
      </c>
      <c r="I40" s="127" t="s">
        <v>30</v>
      </c>
      <c r="J40" s="77" t="e">
        <f>K39</f>
        <v>#REF!</v>
      </c>
    </row>
  </sheetData>
  <autoFilter ref="A3:K40"/>
  <mergeCells count="1">
    <mergeCell ref="A40:F40"/>
  </mergeCells>
  <phoneticPr fontId="19" type="noConversion"/>
  <pageMargins left="0.25" right="0.25" top="0.75" bottom="0.75" header="0.30000001192092896" footer="0.30000001192092896"/>
  <pageSetup paperSize="9" scale="65" fitToHeight="0" orientation="portrait" horizontalDpi="4294967293" r:id="rId1"/>
  <headerFooter alignWithMargins="0">
    <oddFooter>&amp;C&amp;"맑은 고딕,Regular"&amp;P  of 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indexed="10"/>
  </sheetPr>
  <dimension ref="A1:N73"/>
  <sheetViews>
    <sheetView showGridLines="0" zoomScale="82" zoomScaleNormal="82" zoomScaleSheetLayoutView="75" workbookViewId="0">
      <pane xSplit="3" ySplit="3" topLeftCell="D4" activePane="bottomRight" state="frozen"/>
      <selection activeCell="J174" sqref="J174"/>
      <selection pane="topRight" activeCell="J174" sqref="J174"/>
      <selection pane="bottomLeft" activeCell="J174" sqref="J174"/>
      <selection pane="bottomRight" activeCell="F84" sqref="F84"/>
    </sheetView>
  </sheetViews>
  <sheetFormatPr defaultColWidth="8.8984375" defaultRowHeight="17.399999999999999" x14ac:dyDescent="0.25"/>
  <cols>
    <col min="1" max="2" width="5.09765625" style="2" customWidth="1"/>
    <col min="3" max="3" width="17.796875" style="2" bestFit="1" customWidth="1"/>
    <col min="4" max="4" width="8" style="2" customWidth="1"/>
    <col min="5" max="5" width="12.796875" style="2" bestFit="1" customWidth="1"/>
    <col min="6" max="6" width="24.3984375" style="5" bestFit="1" customWidth="1"/>
    <col min="7" max="7" width="10.296875" style="43" customWidth="1"/>
    <col min="8" max="8" width="12.59765625" style="41" customWidth="1"/>
    <col min="9" max="9" width="7.19921875" style="5" customWidth="1"/>
    <col min="10" max="10" width="21.3984375" style="2" customWidth="1"/>
    <col min="11" max="11" width="9.296875" style="49" bestFit="1" customWidth="1"/>
    <col min="12" max="13" width="8.59765625" style="50" customWidth="1"/>
    <col min="14" max="14" width="13" style="2" customWidth="1"/>
    <col min="15" max="16384" width="8.8984375" style="2"/>
  </cols>
  <sheetData>
    <row r="1" spans="1:14" ht="25.2" x14ac:dyDescent="0.25">
      <c r="A1" s="54" t="s">
        <v>395</v>
      </c>
      <c r="B1" s="54"/>
      <c r="C1" s="54"/>
      <c r="D1" s="54"/>
    </row>
    <row r="2" spans="1:14" x14ac:dyDescent="0.25">
      <c r="I2" s="7"/>
      <c r="J2" s="4" t="s">
        <v>286</v>
      </c>
      <c r="L2" s="138"/>
      <c r="M2" s="138"/>
      <c r="N2" s="138"/>
    </row>
    <row r="3" spans="1:14" s="3" customFormat="1" ht="37.5" customHeight="1" x14ac:dyDescent="0.25">
      <c r="A3" s="6" t="s">
        <v>277</v>
      </c>
      <c r="B3" s="6" t="s">
        <v>278</v>
      </c>
      <c r="C3" s="9" t="s">
        <v>204</v>
      </c>
      <c r="D3" s="6" t="s">
        <v>324</v>
      </c>
      <c r="E3" s="6" t="s">
        <v>352</v>
      </c>
      <c r="F3" s="6" t="s">
        <v>272</v>
      </c>
      <c r="G3" s="47" t="s">
        <v>282</v>
      </c>
      <c r="H3" s="48" t="s">
        <v>291</v>
      </c>
      <c r="I3" s="6" t="s">
        <v>274</v>
      </c>
      <c r="J3" s="6" t="s">
        <v>275</v>
      </c>
      <c r="K3" s="53" t="s">
        <v>288</v>
      </c>
      <c r="L3" s="52"/>
      <c r="M3" s="52"/>
    </row>
    <row r="4" spans="1:14" x14ac:dyDescent="0.25">
      <c r="A4" s="102" t="s">
        <v>372</v>
      </c>
      <c r="B4" s="102" t="s">
        <v>364</v>
      </c>
      <c r="C4" s="67"/>
      <c r="D4" s="102"/>
      <c r="E4" s="115"/>
      <c r="F4" s="107"/>
      <c r="G4" s="110"/>
      <c r="H4" s="111"/>
      <c r="I4" s="107"/>
      <c r="J4" s="107"/>
      <c r="K4" s="49" t="e">
        <f>#REF!+G4-H4</f>
        <v>#REF!</v>
      </c>
    </row>
    <row r="5" spans="1:14" x14ac:dyDescent="0.25">
      <c r="A5" s="102" t="s">
        <v>372</v>
      </c>
      <c r="B5" s="102" t="s">
        <v>364</v>
      </c>
      <c r="C5" s="67"/>
      <c r="D5" s="102"/>
      <c r="E5" s="115"/>
      <c r="F5" s="107"/>
      <c r="G5" s="110"/>
      <c r="H5" s="111"/>
      <c r="I5" s="107"/>
      <c r="J5" s="107"/>
      <c r="K5" s="49" t="e">
        <f t="shared" ref="K5:K11" si="0">K4+G5-H5</f>
        <v>#REF!</v>
      </c>
    </row>
    <row r="6" spans="1:14" x14ac:dyDescent="0.25">
      <c r="A6" s="102" t="s">
        <v>372</v>
      </c>
      <c r="B6" s="102" t="s">
        <v>364</v>
      </c>
      <c r="C6" s="67"/>
      <c r="D6" s="102"/>
      <c r="E6" s="115"/>
      <c r="F6" s="107"/>
      <c r="G6" s="110"/>
      <c r="H6" s="111"/>
      <c r="I6" s="107"/>
      <c r="J6" s="103"/>
      <c r="K6" s="49" t="e">
        <f t="shared" si="0"/>
        <v>#REF!</v>
      </c>
    </row>
    <row r="7" spans="1:14" x14ac:dyDescent="0.25">
      <c r="A7" s="102" t="s">
        <v>48</v>
      </c>
      <c r="B7" s="102" t="s">
        <v>52</v>
      </c>
      <c r="C7" s="67"/>
      <c r="D7" s="102"/>
      <c r="E7" s="115"/>
      <c r="F7" s="107"/>
      <c r="G7" s="110"/>
      <c r="H7" s="111"/>
      <c r="I7" s="107"/>
      <c r="J7" s="107"/>
      <c r="K7" s="49" t="e">
        <f t="shared" si="0"/>
        <v>#REF!</v>
      </c>
    </row>
    <row r="8" spans="1:14" x14ac:dyDescent="0.25">
      <c r="A8" s="116" t="s">
        <v>48</v>
      </c>
      <c r="B8" s="116" t="s">
        <v>52</v>
      </c>
      <c r="C8" s="112"/>
      <c r="D8" s="116"/>
      <c r="E8" s="109"/>
      <c r="F8" s="117"/>
      <c r="G8" s="113"/>
      <c r="H8" s="114"/>
      <c r="I8" s="117"/>
      <c r="J8" s="133"/>
      <c r="K8" s="49" t="e">
        <f t="shared" si="0"/>
        <v>#REF!</v>
      </c>
    </row>
    <row r="9" spans="1:14" x14ac:dyDescent="0.25">
      <c r="A9" s="102" t="s">
        <v>48</v>
      </c>
      <c r="B9" s="102" t="s">
        <v>52</v>
      </c>
      <c r="C9" s="67"/>
      <c r="D9" s="102"/>
      <c r="E9" s="115"/>
      <c r="F9" s="107"/>
      <c r="G9" s="110"/>
      <c r="H9" s="111"/>
      <c r="I9" s="107"/>
      <c r="J9" s="107"/>
      <c r="K9" s="49" t="e">
        <f t="shared" si="0"/>
        <v>#REF!</v>
      </c>
    </row>
    <row r="10" spans="1:14" x14ac:dyDescent="0.25">
      <c r="A10" s="102" t="s">
        <v>48</v>
      </c>
      <c r="B10" s="102" t="s">
        <v>52</v>
      </c>
      <c r="C10" s="67"/>
      <c r="D10" s="102"/>
      <c r="E10" s="115"/>
      <c r="F10" s="107"/>
      <c r="G10" s="110"/>
      <c r="H10" s="111"/>
      <c r="I10" s="107"/>
      <c r="J10" s="107"/>
      <c r="K10" s="49" t="e">
        <f t="shared" si="0"/>
        <v>#REF!</v>
      </c>
    </row>
    <row r="11" spans="1:14" x14ac:dyDescent="0.25">
      <c r="A11" s="102" t="s">
        <v>48</v>
      </c>
      <c r="B11" s="102" t="s">
        <v>52</v>
      </c>
      <c r="C11" s="67"/>
      <c r="D11" s="102"/>
      <c r="E11" s="115"/>
      <c r="F11" s="107"/>
      <c r="G11" s="110"/>
      <c r="H11" s="111"/>
      <c r="I11" s="107"/>
      <c r="J11" s="107"/>
      <c r="K11" s="49" t="e">
        <f t="shared" si="0"/>
        <v>#REF!</v>
      </c>
    </row>
    <row r="12" spans="1:14" x14ac:dyDescent="0.25">
      <c r="A12" s="102" t="s">
        <v>48</v>
      </c>
      <c r="B12" s="102" t="s">
        <v>52</v>
      </c>
      <c r="C12" s="67"/>
      <c r="D12" s="102"/>
      <c r="E12" s="115"/>
      <c r="F12" s="107"/>
      <c r="G12" s="110"/>
      <c r="H12" s="111"/>
      <c r="I12" s="107"/>
      <c r="J12" s="107"/>
      <c r="K12" s="49" t="e">
        <f t="shared" ref="K12:K73" si="1">K11+G12-H12</f>
        <v>#REF!</v>
      </c>
    </row>
    <row r="13" spans="1:14" x14ac:dyDescent="0.25">
      <c r="A13" s="102" t="s">
        <v>48</v>
      </c>
      <c r="B13" s="102" t="s">
        <v>52</v>
      </c>
      <c r="C13" s="67"/>
      <c r="D13" s="102"/>
      <c r="E13" s="115"/>
      <c r="F13" s="107"/>
      <c r="G13" s="110"/>
      <c r="H13" s="111"/>
      <c r="I13" s="107"/>
      <c r="J13" s="107"/>
      <c r="K13" s="49" t="e">
        <f t="shared" si="1"/>
        <v>#REF!</v>
      </c>
    </row>
    <row r="14" spans="1:14" x14ac:dyDescent="0.25">
      <c r="A14" s="102" t="s">
        <v>48</v>
      </c>
      <c r="B14" s="102" t="s">
        <v>52</v>
      </c>
      <c r="C14" s="67"/>
      <c r="D14" s="102"/>
      <c r="E14" s="115"/>
      <c r="F14" s="107"/>
      <c r="G14" s="110"/>
      <c r="H14" s="111"/>
      <c r="I14" s="107"/>
      <c r="J14" s="107"/>
      <c r="K14" s="49" t="e">
        <f t="shared" si="1"/>
        <v>#REF!</v>
      </c>
    </row>
    <row r="15" spans="1:14" x14ac:dyDescent="0.25">
      <c r="A15" s="102" t="s">
        <v>48</v>
      </c>
      <c r="B15" s="102" t="s">
        <v>52</v>
      </c>
      <c r="C15" s="67"/>
      <c r="D15" s="102"/>
      <c r="E15" s="115"/>
      <c r="F15" s="107"/>
      <c r="G15" s="110"/>
      <c r="H15" s="111"/>
      <c r="I15" s="107"/>
      <c r="J15" s="103"/>
      <c r="K15" s="49" t="e">
        <f t="shared" si="1"/>
        <v>#REF!</v>
      </c>
    </row>
    <row r="16" spans="1:14" x14ac:dyDescent="0.25">
      <c r="A16" s="102" t="s">
        <v>48</v>
      </c>
      <c r="B16" s="102" t="s">
        <v>53</v>
      </c>
      <c r="C16" s="67"/>
      <c r="D16" s="102"/>
      <c r="E16" s="115"/>
      <c r="F16" s="107"/>
      <c r="G16" s="110"/>
      <c r="H16" s="111"/>
      <c r="I16" s="107"/>
      <c r="J16" s="107"/>
      <c r="K16" s="49" t="e">
        <f t="shared" si="1"/>
        <v>#REF!</v>
      </c>
    </row>
    <row r="17" spans="1:11" x14ac:dyDescent="0.25">
      <c r="A17" s="102" t="s">
        <v>48</v>
      </c>
      <c r="B17" s="102" t="s">
        <v>53</v>
      </c>
      <c r="C17" s="67"/>
      <c r="D17" s="102"/>
      <c r="E17" s="115"/>
      <c r="F17" s="107"/>
      <c r="G17" s="110"/>
      <c r="H17" s="111"/>
      <c r="I17" s="107"/>
      <c r="J17" s="107"/>
      <c r="K17" s="49" t="e">
        <f t="shared" si="1"/>
        <v>#REF!</v>
      </c>
    </row>
    <row r="18" spans="1:11" x14ac:dyDescent="0.25">
      <c r="A18" s="102" t="s">
        <v>48</v>
      </c>
      <c r="B18" s="102" t="s">
        <v>53</v>
      </c>
      <c r="C18" s="67"/>
      <c r="D18" s="102"/>
      <c r="E18" s="115"/>
      <c r="F18" s="107"/>
      <c r="G18" s="110"/>
      <c r="H18" s="111"/>
      <c r="I18" s="107"/>
      <c r="J18" s="107"/>
      <c r="K18" s="49" t="e">
        <f t="shared" si="1"/>
        <v>#REF!</v>
      </c>
    </row>
    <row r="19" spans="1:11" x14ac:dyDescent="0.25">
      <c r="A19" s="116" t="s">
        <v>48</v>
      </c>
      <c r="B19" s="116" t="s">
        <v>53</v>
      </c>
      <c r="C19" s="112"/>
      <c r="D19" s="116"/>
      <c r="E19" s="109"/>
      <c r="F19" s="117"/>
      <c r="G19" s="113"/>
      <c r="H19" s="114"/>
      <c r="I19" s="117"/>
      <c r="J19" s="117"/>
      <c r="K19" s="49" t="e">
        <f t="shared" si="1"/>
        <v>#REF!</v>
      </c>
    </row>
    <row r="20" spans="1:11" x14ac:dyDescent="0.25">
      <c r="A20" s="102" t="s">
        <v>48</v>
      </c>
      <c r="B20" s="102" t="s">
        <v>53</v>
      </c>
      <c r="C20" s="67"/>
      <c r="D20" s="102"/>
      <c r="E20" s="115"/>
      <c r="F20" s="107"/>
      <c r="G20" s="110"/>
      <c r="H20" s="111"/>
      <c r="I20" s="107"/>
      <c r="J20" s="107"/>
      <c r="K20" s="49" t="e">
        <f t="shared" si="1"/>
        <v>#REF!</v>
      </c>
    </row>
    <row r="21" spans="1:11" x14ac:dyDescent="0.25">
      <c r="A21" s="102" t="s">
        <v>48</v>
      </c>
      <c r="B21" s="102" t="s">
        <v>53</v>
      </c>
      <c r="C21" s="67"/>
      <c r="D21" s="102"/>
      <c r="E21" s="115"/>
      <c r="F21" s="107"/>
      <c r="G21" s="110"/>
      <c r="H21" s="111"/>
      <c r="I21" s="107"/>
      <c r="J21" s="107"/>
      <c r="K21" s="49" t="e">
        <f t="shared" si="1"/>
        <v>#REF!</v>
      </c>
    </row>
    <row r="22" spans="1:11" x14ac:dyDescent="0.25">
      <c r="A22" s="102" t="s">
        <v>48</v>
      </c>
      <c r="B22" s="102" t="s">
        <v>53</v>
      </c>
      <c r="C22" s="67"/>
      <c r="D22" s="102"/>
      <c r="E22" s="115"/>
      <c r="F22" s="107"/>
      <c r="G22" s="110"/>
      <c r="H22" s="111"/>
      <c r="I22" s="107"/>
      <c r="J22" s="107"/>
      <c r="K22" s="49" t="e">
        <f t="shared" si="1"/>
        <v>#REF!</v>
      </c>
    </row>
    <row r="23" spans="1:11" x14ac:dyDescent="0.25">
      <c r="A23" s="102" t="s">
        <v>48</v>
      </c>
      <c r="B23" s="102" t="s">
        <v>53</v>
      </c>
      <c r="C23" s="67"/>
      <c r="D23" s="102"/>
      <c r="E23" s="115"/>
      <c r="F23" s="107"/>
      <c r="G23" s="110"/>
      <c r="H23" s="111"/>
      <c r="I23" s="107"/>
      <c r="J23" s="107"/>
      <c r="K23" s="49" t="e">
        <f t="shared" si="1"/>
        <v>#REF!</v>
      </c>
    </row>
    <row r="24" spans="1:11" x14ac:dyDescent="0.25">
      <c r="A24" s="102" t="s">
        <v>48</v>
      </c>
      <c r="B24" s="102" t="s">
        <v>53</v>
      </c>
      <c r="C24" s="67"/>
      <c r="D24" s="102"/>
      <c r="E24" s="115"/>
      <c r="F24" s="107"/>
      <c r="G24" s="110"/>
      <c r="H24" s="111"/>
      <c r="I24" s="107"/>
      <c r="J24" s="107"/>
      <c r="K24" s="49" t="e">
        <f t="shared" si="1"/>
        <v>#REF!</v>
      </c>
    </row>
    <row r="25" spans="1:11" x14ac:dyDescent="0.25">
      <c r="A25" s="102" t="s">
        <v>48</v>
      </c>
      <c r="B25" s="102" t="s">
        <v>53</v>
      </c>
      <c r="C25" s="67"/>
      <c r="D25" s="102"/>
      <c r="E25" s="115"/>
      <c r="F25" s="107"/>
      <c r="G25" s="110"/>
      <c r="H25" s="111"/>
      <c r="I25" s="107"/>
      <c r="J25" s="107"/>
      <c r="K25" s="49" t="e">
        <f t="shared" si="1"/>
        <v>#REF!</v>
      </c>
    </row>
    <row r="26" spans="1:11" x14ac:dyDescent="0.25">
      <c r="A26" s="102" t="s">
        <v>48</v>
      </c>
      <c r="B26" s="102" t="s">
        <v>53</v>
      </c>
      <c r="C26" s="67"/>
      <c r="D26" s="102"/>
      <c r="E26" s="115"/>
      <c r="F26" s="107"/>
      <c r="G26" s="110"/>
      <c r="H26" s="111"/>
      <c r="I26" s="107"/>
      <c r="J26" s="107"/>
      <c r="K26" s="49" t="e">
        <f t="shared" si="1"/>
        <v>#REF!</v>
      </c>
    </row>
    <row r="27" spans="1:11" x14ac:dyDescent="0.25">
      <c r="A27" s="102" t="s">
        <v>48</v>
      </c>
      <c r="B27" s="102" t="s">
        <v>53</v>
      </c>
      <c r="C27" s="67"/>
      <c r="D27" s="102"/>
      <c r="E27" s="115"/>
      <c r="F27" s="107"/>
      <c r="G27" s="110"/>
      <c r="H27" s="111"/>
      <c r="I27" s="107"/>
      <c r="J27" s="107"/>
      <c r="K27" s="49" t="e">
        <f t="shared" si="1"/>
        <v>#REF!</v>
      </c>
    </row>
    <row r="28" spans="1:11" x14ac:dyDescent="0.25">
      <c r="A28" s="102" t="s">
        <v>48</v>
      </c>
      <c r="B28" s="102" t="s">
        <v>53</v>
      </c>
      <c r="C28" s="67"/>
      <c r="D28" s="102"/>
      <c r="E28" s="115"/>
      <c r="F28" s="107"/>
      <c r="G28" s="110"/>
      <c r="H28" s="111"/>
      <c r="I28" s="107"/>
      <c r="J28" s="107"/>
      <c r="K28" s="49" t="e">
        <f t="shared" si="1"/>
        <v>#REF!</v>
      </c>
    </row>
    <row r="29" spans="1:11" x14ac:dyDescent="0.25">
      <c r="A29" s="102" t="s">
        <v>48</v>
      </c>
      <c r="B29" s="102" t="s">
        <v>53</v>
      </c>
      <c r="C29" s="67"/>
      <c r="D29" s="102"/>
      <c r="E29" s="115"/>
      <c r="F29" s="107"/>
      <c r="G29" s="110"/>
      <c r="H29" s="111"/>
      <c r="I29" s="107"/>
      <c r="J29" s="107"/>
      <c r="K29" s="49" t="e">
        <f t="shared" si="1"/>
        <v>#REF!</v>
      </c>
    </row>
    <row r="30" spans="1:11" x14ac:dyDescent="0.25">
      <c r="A30" s="102" t="s">
        <v>48</v>
      </c>
      <c r="B30" s="102" t="s">
        <v>53</v>
      </c>
      <c r="C30" s="67"/>
      <c r="D30" s="102"/>
      <c r="E30" s="115"/>
      <c r="F30" s="107"/>
      <c r="G30" s="110"/>
      <c r="H30" s="111"/>
      <c r="I30" s="107"/>
      <c r="J30" s="107"/>
      <c r="K30" s="49" t="e">
        <f t="shared" si="1"/>
        <v>#REF!</v>
      </c>
    </row>
    <row r="31" spans="1:11" x14ac:dyDescent="0.25">
      <c r="A31" s="102" t="s">
        <v>48</v>
      </c>
      <c r="B31" s="102" t="s">
        <v>53</v>
      </c>
      <c r="C31" s="67"/>
      <c r="D31" s="102"/>
      <c r="E31" s="115"/>
      <c r="F31" s="107"/>
      <c r="G31" s="110"/>
      <c r="H31" s="111"/>
      <c r="I31" s="107"/>
      <c r="J31" s="107"/>
      <c r="K31" s="49" t="e">
        <f t="shared" si="1"/>
        <v>#REF!</v>
      </c>
    </row>
    <row r="32" spans="1:11" x14ac:dyDescent="0.25">
      <c r="A32" s="102" t="s">
        <v>48</v>
      </c>
      <c r="B32" s="102" t="s">
        <v>53</v>
      </c>
      <c r="C32" s="67"/>
      <c r="D32" s="102"/>
      <c r="E32" s="115"/>
      <c r="F32" s="107"/>
      <c r="G32" s="110"/>
      <c r="H32" s="111"/>
      <c r="I32" s="107"/>
      <c r="J32" s="107"/>
      <c r="K32" s="49" t="e">
        <f t="shared" si="1"/>
        <v>#REF!</v>
      </c>
    </row>
    <row r="33" spans="1:11" x14ac:dyDescent="0.25">
      <c r="A33" s="102" t="s">
        <v>48</v>
      </c>
      <c r="B33" s="102" t="s">
        <v>53</v>
      </c>
      <c r="C33" s="67"/>
      <c r="D33" s="102"/>
      <c r="E33" s="115"/>
      <c r="F33" s="107"/>
      <c r="G33" s="110"/>
      <c r="H33" s="111"/>
      <c r="I33" s="107"/>
      <c r="J33" s="107"/>
      <c r="K33" s="49" t="e">
        <f t="shared" si="1"/>
        <v>#REF!</v>
      </c>
    </row>
    <row r="34" spans="1:11" x14ac:dyDescent="0.25">
      <c r="A34" s="102" t="s">
        <v>48</v>
      </c>
      <c r="B34" s="102" t="s">
        <v>53</v>
      </c>
      <c r="C34" s="67"/>
      <c r="D34" s="102"/>
      <c r="E34" s="115"/>
      <c r="F34" s="107"/>
      <c r="G34" s="110"/>
      <c r="H34" s="111"/>
      <c r="I34" s="107"/>
      <c r="J34" s="107"/>
      <c r="K34" s="49" t="e">
        <f t="shared" si="1"/>
        <v>#REF!</v>
      </c>
    </row>
    <row r="35" spans="1:11" x14ac:dyDescent="0.25">
      <c r="A35" s="102" t="s">
        <v>48</v>
      </c>
      <c r="B35" s="102" t="s">
        <v>53</v>
      </c>
      <c r="C35" s="67"/>
      <c r="D35" s="102"/>
      <c r="E35" s="115"/>
      <c r="F35" s="107"/>
      <c r="G35" s="110"/>
      <c r="H35" s="111"/>
      <c r="I35" s="107"/>
      <c r="J35" s="107"/>
      <c r="K35" s="49" t="e">
        <f t="shared" si="1"/>
        <v>#REF!</v>
      </c>
    </row>
    <row r="36" spans="1:11" x14ac:dyDescent="0.25">
      <c r="A36" s="102" t="s">
        <v>48</v>
      </c>
      <c r="B36" s="102" t="s">
        <v>49</v>
      </c>
      <c r="C36" s="67"/>
      <c r="D36" s="102"/>
      <c r="E36" s="115"/>
      <c r="F36" s="107"/>
      <c r="G36" s="110"/>
      <c r="H36" s="111"/>
      <c r="I36" s="107"/>
      <c r="J36" s="107"/>
      <c r="K36" s="49" t="e">
        <f t="shared" si="1"/>
        <v>#REF!</v>
      </c>
    </row>
    <row r="37" spans="1:11" x14ac:dyDescent="0.25">
      <c r="A37" s="102" t="s">
        <v>48</v>
      </c>
      <c r="B37" s="102" t="s">
        <v>49</v>
      </c>
      <c r="C37" s="67"/>
      <c r="D37" s="102"/>
      <c r="E37" s="115"/>
      <c r="F37" s="107"/>
      <c r="G37" s="110"/>
      <c r="H37" s="111"/>
      <c r="I37" s="107"/>
      <c r="J37" s="107"/>
      <c r="K37" s="49" t="e">
        <f t="shared" si="1"/>
        <v>#REF!</v>
      </c>
    </row>
    <row r="38" spans="1:11" x14ac:dyDescent="0.25">
      <c r="A38" s="102" t="s">
        <v>48</v>
      </c>
      <c r="B38" s="102" t="s">
        <v>49</v>
      </c>
      <c r="C38" s="67"/>
      <c r="D38" s="102"/>
      <c r="E38" s="115"/>
      <c r="F38" s="107"/>
      <c r="G38" s="110"/>
      <c r="H38" s="111"/>
      <c r="I38" s="107"/>
      <c r="J38" s="107"/>
      <c r="K38" s="49" t="e">
        <f t="shared" si="1"/>
        <v>#REF!</v>
      </c>
    </row>
    <row r="39" spans="1:11" x14ac:dyDescent="0.25">
      <c r="A39" s="102" t="s">
        <v>48</v>
      </c>
      <c r="B39" s="102" t="s">
        <v>49</v>
      </c>
      <c r="C39" s="67"/>
      <c r="D39" s="102"/>
      <c r="E39" s="115"/>
      <c r="F39" s="107"/>
      <c r="G39" s="110"/>
      <c r="H39" s="111"/>
      <c r="I39" s="107"/>
      <c r="J39" s="107"/>
      <c r="K39" s="49" t="e">
        <f t="shared" si="1"/>
        <v>#REF!</v>
      </c>
    </row>
    <row r="40" spans="1:11" x14ac:dyDescent="0.25">
      <c r="A40" s="102" t="s">
        <v>48</v>
      </c>
      <c r="B40" s="102" t="s">
        <v>49</v>
      </c>
      <c r="C40" s="67"/>
      <c r="D40" s="102"/>
      <c r="E40" s="115"/>
      <c r="F40" s="107"/>
      <c r="G40" s="110"/>
      <c r="H40" s="111"/>
      <c r="I40" s="107"/>
      <c r="J40" s="107"/>
      <c r="K40" s="49" t="e">
        <f t="shared" si="1"/>
        <v>#REF!</v>
      </c>
    </row>
    <row r="41" spans="1:11" x14ac:dyDescent="0.25">
      <c r="A41" s="102" t="s">
        <v>48</v>
      </c>
      <c r="B41" s="102" t="s">
        <v>49</v>
      </c>
      <c r="C41" s="67"/>
      <c r="D41" s="102"/>
      <c r="E41" s="115"/>
      <c r="F41" s="107"/>
      <c r="G41" s="110"/>
      <c r="H41" s="111"/>
      <c r="I41" s="107"/>
      <c r="J41" s="107"/>
      <c r="K41" s="49" t="e">
        <f t="shared" si="1"/>
        <v>#REF!</v>
      </c>
    </row>
    <row r="42" spans="1:11" x14ac:dyDescent="0.25">
      <c r="A42" s="102" t="s">
        <v>48</v>
      </c>
      <c r="B42" s="102" t="s">
        <v>49</v>
      </c>
      <c r="C42" s="67"/>
      <c r="D42" s="102"/>
      <c r="E42" s="115"/>
      <c r="F42" s="107"/>
      <c r="G42" s="110"/>
      <c r="H42" s="111"/>
      <c r="I42" s="107"/>
      <c r="J42" s="107"/>
      <c r="K42" s="49" t="e">
        <f t="shared" si="1"/>
        <v>#REF!</v>
      </c>
    </row>
    <row r="43" spans="1:11" x14ac:dyDescent="0.25">
      <c r="A43" s="102" t="s">
        <v>48</v>
      </c>
      <c r="B43" s="102" t="s">
        <v>49</v>
      </c>
      <c r="C43" s="67"/>
      <c r="D43" s="102"/>
      <c r="E43" s="115"/>
      <c r="F43" s="107"/>
      <c r="G43" s="110"/>
      <c r="H43" s="111"/>
      <c r="I43" s="107"/>
      <c r="J43" s="107"/>
      <c r="K43" s="49" t="e">
        <f t="shared" si="1"/>
        <v>#REF!</v>
      </c>
    </row>
    <row r="44" spans="1:11" x14ac:dyDescent="0.25">
      <c r="A44" s="102" t="s">
        <v>48</v>
      </c>
      <c r="B44" s="102" t="s">
        <v>50</v>
      </c>
      <c r="C44" s="67"/>
      <c r="D44" s="102"/>
      <c r="E44" s="115"/>
      <c r="F44" s="107"/>
      <c r="G44" s="110"/>
      <c r="H44" s="111"/>
      <c r="I44" s="107"/>
      <c r="J44" s="107"/>
      <c r="K44" s="49" t="e">
        <f t="shared" si="1"/>
        <v>#REF!</v>
      </c>
    </row>
    <row r="45" spans="1:11" x14ac:dyDescent="0.25">
      <c r="A45" s="102" t="s">
        <v>48</v>
      </c>
      <c r="B45" s="102" t="s">
        <v>50</v>
      </c>
      <c r="C45" s="67"/>
      <c r="D45" s="102"/>
      <c r="E45" s="115"/>
      <c r="F45" s="107"/>
      <c r="G45" s="110"/>
      <c r="H45" s="111"/>
      <c r="I45" s="107"/>
      <c r="J45" s="107"/>
      <c r="K45" s="49" t="e">
        <f t="shared" si="1"/>
        <v>#REF!</v>
      </c>
    </row>
    <row r="46" spans="1:11" x14ac:dyDescent="0.25">
      <c r="A46" s="102" t="s">
        <v>48</v>
      </c>
      <c r="B46" s="102" t="s">
        <v>50</v>
      </c>
      <c r="C46" s="67"/>
      <c r="D46" s="102"/>
      <c r="E46" s="115"/>
      <c r="F46" s="107"/>
      <c r="G46" s="110"/>
      <c r="H46" s="111"/>
      <c r="I46" s="107"/>
      <c r="J46" s="107"/>
      <c r="K46" s="49" t="e">
        <f t="shared" si="1"/>
        <v>#REF!</v>
      </c>
    </row>
    <row r="47" spans="1:11" x14ac:dyDescent="0.25">
      <c r="A47" s="102" t="s">
        <v>48</v>
      </c>
      <c r="B47" s="102" t="s">
        <v>50</v>
      </c>
      <c r="C47" s="67"/>
      <c r="D47" s="102"/>
      <c r="E47" s="115"/>
      <c r="F47" s="107"/>
      <c r="G47" s="110"/>
      <c r="H47" s="111"/>
      <c r="I47" s="107"/>
      <c r="J47" s="107"/>
      <c r="K47" s="49" t="e">
        <f t="shared" si="1"/>
        <v>#REF!</v>
      </c>
    </row>
    <row r="48" spans="1:11" x14ac:dyDescent="0.25">
      <c r="A48" s="102" t="s">
        <v>48</v>
      </c>
      <c r="B48" s="102" t="s">
        <v>50</v>
      </c>
      <c r="C48" s="67"/>
      <c r="D48" s="102"/>
      <c r="E48" s="115"/>
      <c r="F48" s="107"/>
      <c r="G48" s="110"/>
      <c r="H48" s="111"/>
      <c r="I48" s="107"/>
      <c r="J48" s="107"/>
      <c r="K48" s="49" t="e">
        <f t="shared" si="1"/>
        <v>#REF!</v>
      </c>
    </row>
    <row r="49" spans="1:11" x14ac:dyDescent="0.25">
      <c r="A49" s="102" t="s">
        <v>48</v>
      </c>
      <c r="B49" s="102" t="s">
        <v>50</v>
      </c>
      <c r="C49" s="67"/>
      <c r="D49" s="102"/>
      <c r="E49" s="115"/>
      <c r="F49" s="107"/>
      <c r="G49" s="110"/>
      <c r="H49" s="111"/>
      <c r="I49" s="107"/>
      <c r="J49" s="107"/>
      <c r="K49" s="49" t="e">
        <f t="shared" si="1"/>
        <v>#REF!</v>
      </c>
    </row>
    <row r="50" spans="1:11" x14ac:dyDescent="0.25">
      <c r="A50" s="102" t="s">
        <v>48</v>
      </c>
      <c r="B50" s="102" t="s">
        <v>50</v>
      </c>
      <c r="C50" s="67"/>
      <c r="D50" s="102"/>
      <c r="E50" s="115"/>
      <c r="F50" s="107"/>
      <c r="G50" s="110"/>
      <c r="H50" s="111"/>
      <c r="I50" s="107"/>
      <c r="J50" s="107"/>
      <c r="K50" s="49" t="e">
        <f t="shared" si="1"/>
        <v>#REF!</v>
      </c>
    </row>
    <row r="51" spans="1:11" x14ac:dyDescent="0.25">
      <c r="A51" s="102" t="s">
        <v>48</v>
      </c>
      <c r="B51" s="102" t="s">
        <v>50</v>
      </c>
      <c r="C51" s="67"/>
      <c r="D51" s="102"/>
      <c r="E51" s="115"/>
      <c r="F51" s="107"/>
      <c r="G51" s="110"/>
      <c r="H51" s="111"/>
      <c r="I51" s="107"/>
      <c r="J51" s="107"/>
      <c r="K51" s="49" t="e">
        <f t="shared" si="1"/>
        <v>#REF!</v>
      </c>
    </row>
    <row r="52" spans="1:11" x14ac:dyDescent="0.25">
      <c r="A52" s="102" t="s">
        <v>48</v>
      </c>
      <c r="B52" s="102" t="s">
        <v>50</v>
      </c>
      <c r="C52" s="67"/>
      <c r="D52" s="102"/>
      <c r="E52" s="115"/>
      <c r="F52" s="107"/>
      <c r="G52" s="110"/>
      <c r="H52" s="111"/>
      <c r="I52" s="107"/>
      <c r="J52" s="107"/>
      <c r="K52" s="49" t="e">
        <f t="shared" si="1"/>
        <v>#REF!</v>
      </c>
    </row>
    <row r="53" spans="1:11" x14ac:dyDescent="0.25">
      <c r="A53" s="102" t="s">
        <v>48</v>
      </c>
      <c r="B53" s="102" t="s">
        <v>50</v>
      </c>
      <c r="C53" s="67"/>
      <c r="D53" s="102"/>
      <c r="E53" s="115"/>
      <c r="F53" s="107"/>
      <c r="G53" s="110"/>
      <c r="H53" s="111"/>
      <c r="I53" s="107"/>
      <c r="J53" s="107"/>
      <c r="K53" s="49" t="e">
        <f t="shared" si="1"/>
        <v>#REF!</v>
      </c>
    </row>
    <row r="54" spans="1:11" x14ac:dyDescent="0.25">
      <c r="A54" s="102" t="s">
        <v>48</v>
      </c>
      <c r="B54" s="102" t="s">
        <v>50</v>
      </c>
      <c r="C54" s="67"/>
      <c r="D54" s="102"/>
      <c r="E54" s="115"/>
      <c r="F54" s="107"/>
      <c r="G54" s="110"/>
      <c r="H54" s="111"/>
      <c r="I54" s="107"/>
      <c r="J54" s="107"/>
      <c r="K54" s="49" t="e">
        <f t="shared" si="1"/>
        <v>#REF!</v>
      </c>
    </row>
    <row r="55" spans="1:11" x14ac:dyDescent="0.25">
      <c r="A55" s="102" t="s">
        <v>48</v>
      </c>
      <c r="B55" s="102" t="s">
        <v>50</v>
      </c>
      <c r="C55" s="67"/>
      <c r="D55" s="102"/>
      <c r="E55" s="115"/>
      <c r="F55" s="107"/>
      <c r="G55" s="110"/>
      <c r="H55" s="111"/>
      <c r="I55" s="107"/>
      <c r="J55" s="107"/>
      <c r="K55" s="49" t="e">
        <f t="shared" si="1"/>
        <v>#REF!</v>
      </c>
    </row>
    <row r="56" spans="1:11" x14ac:dyDescent="0.25">
      <c r="A56" s="102" t="s">
        <v>48</v>
      </c>
      <c r="B56" s="102" t="s">
        <v>50</v>
      </c>
      <c r="C56" s="67"/>
      <c r="D56" s="102"/>
      <c r="E56" s="115"/>
      <c r="F56" s="107"/>
      <c r="G56" s="110"/>
      <c r="H56" s="111"/>
      <c r="I56" s="107"/>
      <c r="J56" s="107"/>
      <c r="K56" s="49" t="e">
        <f t="shared" si="1"/>
        <v>#REF!</v>
      </c>
    </row>
    <row r="57" spans="1:11" x14ac:dyDescent="0.25">
      <c r="A57" s="102" t="s">
        <v>48</v>
      </c>
      <c r="B57" s="102" t="s">
        <v>50</v>
      </c>
      <c r="C57" s="67"/>
      <c r="D57" s="102"/>
      <c r="E57" s="115"/>
      <c r="F57" s="107"/>
      <c r="G57" s="110"/>
      <c r="H57" s="111"/>
      <c r="I57" s="107"/>
      <c r="J57" s="103"/>
      <c r="K57" s="49" t="e">
        <f t="shared" si="1"/>
        <v>#REF!</v>
      </c>
    </row>
    <row r="58" spans="1:11" x14ac:dyDescent="0.25">
      <c r="A58" s="102" t="s">
        <v>48</v>
      </c>
      <c r="B58" s="102" t="s">
        <v>50</v>
      </c>
      <c r="C58" s="67"/>
      <c r="D58" s="102"/>
      <c r="E58" s="115"/>
      <c r="F58" s="107"/>
      <c r="G58" s="110"/>
      <c r="H58" s="111"/>
      <c r="I58" s="107"/>
      <c r="J58" s="103"/>
      <c r="K58" s="49" t="e">
        <f t="shared" si="1"/>
        <v>#REF!</v>
      </c>
    </row>
    <row r="59" spans="1:11" x14ac:dyDescent="0.25">
      <c r="A59" s="102" t="s">
        <v>48</v>
      </c>
      <c r="B59" s="102" t="s">
        <v>50</v>
      </c>
      <c r="C59" s="67"/>
      <c r="D59" s="102"/>
      <c r="E59" s="115"/>
      <c r="F59" s="107"/>
      <c r="G59" s="110"/>
      <c r="H59" s="111"/>
      <c r="I59" s="107"/>
      <c r="J59" s="107"/>
      <c r="K59" s="49" t="e">
        <f t="shared" si="1"/>
        <v>#REF!</v>
      </c>
    </row>
    <row r="60" spans="1:11" x14ac:dyDescent="0.25">
      <c r="A60" s="102" t="s">
        <v>48</v>
      </c>
      <c r="B60" s="102" t="s">
        <v>50</v>
      </c>
      <c r="C60" s="67"/>
      <c r="D60" s="102"/>
      <c r="E60" s="115"/>
      <c r="F60" s="107"/>
      <c r="G60" s="110"/>
      <c r="H60" s="111"/>
      <c r="I60" s="107"/>
      <c r="J60" s="107"/>
      <c r="K60" s="49" t="e">
        <f t="shared" si="1"/>
        <v>#REF!</v>
      </c>
    </row>
    <row r="61" spans="1:11" x14ac:dyDescent="0.25">
      <c r="A61" s="102" t="s">
        <v>48</v>
      </c>
      <c r="B61" s="102" t="s">
        <v>50</v>
      </c>
      <c r="C61" s="67"/>
      <c r="D61" s="102"/>
      <c r="E61" s="115"/>
      <c r="F61" s="107"/>
      <c r="G61" s="110"/>
      <c r="H61" s="111"/>
      <c r="I61" s="107"/>
      <c r="J61" s="103"/>
      <c r="K61" s="49" t="e">
        <f t="shared" si="1"/>
        <v>#REF!</v>
      </c>
    </row>
    <row r="62" spans="1:11" x14ac:dyDescent="0.25">
      <c r="A62" s="102" t="s">
        <v>48</v>
      </c>
      <c r="B62" s="102" t="s">
        <v>50</v>
      </c>
      <c r="C62" s="67"/>
      <c r="D62" s="102"/>
      <c r="E62" s="115"/>
      <c r="F62" s="107"/>
      <c r="G62" s="110"/>
      <c r="H62" s="111"/>
      <c r="I62" s="107"/>
      <c r="J62" s="107"/>
      <c r="K62" s="49" t="e">
        <f t="shared" si="1"/>
        <v>#REF!</v>
      </c>
    </row>
    <row r="63" spans="1:11" x14ac:dyDescent="0.25">
      <c r="A63" s="102" t="s">
        <v>48</v>
      </c>
      <c r="B63" s="102" t="s">
        <v>50</v>
      </c>
      <c r="C63" s="67"/>
      <c r="D63" s="102"/>
      <c r="E63" s="115"/>
      <c r="F63" s="107"/>
      <c r="G63" s="110"/>
      <c r="H63" s="111"/>
      <c r="I63" s="107"/>
      <c r="J63" s="107"/>
      <c r="K63" s="49" t="e">
        <f t="shared" si="1"/>
        <v>#REF!</v>
      </c>
    </row>
    <row r="64" spans="1:11" x14ac:dyDescent="0.25">
      <c r="A64" s="102" t="s">
        <v>48</v>
      </c>
      <c r="B64" s="102" t="s">
        <v>50</v>
      </c>
      <c r="C64" s="67"/>
      <c r="D64" s="102"/>
      <c r="E64" s="115"/>
      <c r="F64" s="107"/>
      <c r="G64" s="110"/>
      <c r="H64" s="111"/>
      <c r="I64" s="107"/>
      <c r="J64" s="107"/>
      <c r="K64" s="49" t="e">
        <f t="shared" si="1"/>
        <v>#REF!</v>
      </c>
    </row>
    <row r="65" spans="1:11" x14ac:dyDescent="0.25">
      <c r="A65" s="102" t="s">
        <v>48</v>
      </c>
      <c r="B65" s="102" t="s">
        <v>50</v>
      </c>
      <c r="C65" s="67"/>
      <c r="D65" s="102"/>
      <c r="E65" s="115"/>
      <c r="F65" s="107"/>
      <c r="G65" s="110"/>
      <c r="H65" s="111"/>
      <c r="I65" s="107"/>
      <c r="J65" s="107"/>
      <c r="K65" s="49" t="e">
        <f t="shared" si="1"/>
        <v>#REF!</v>
      </c>
    </row>
    <row r="66" spans="1:11" ht="18" thickBot="1" x14ac:dyDescent="0.3">
      <c r="A66" s="102" t="s">
        <v>48</v>
      </c>
      <c r="B66" s="102" t="s">
        <v>50</v>
      </c>
      <c r="C66" s="67"/>
      <c r="D66" s="102"/>
      <c r="E66" s="115"/>
      <c r="F66" s="107"/>
      <c r="G66" s="110"/>
      <c r="H66" s="111"/>
      <c r="I66" s="107"/>
      <c r="J66" s="107"/>
      <c r="K66" s="49" t="e">
        <f t="shared" si="1"/>
        <v>#REF!</v>
      </c>
    </row>
    <row r="67" spans="1:11" ht="20.399999999999999" thickTop="1" thickBot="1" x14ac:dyDescent="0.3">
      <c r="A67" s="135" t="s">
        <v>378</v>
      </c>
      <c r="B67" s="136"/>
      <c r="C67" s="136"/>
      <c r="D67" s="136"/>
      <c r="E67" s="136"/>
      <c r="F67" s="137"/>
      <c r="G67" s="98">
        <f>SUM(G4:G66)-390</f>
        <v>-390</v>
      </c>
      <c r="H67" s="98">
        <f>SUM(H4:H66)-20</f>
        <v>-20</v>
      </c>
      <c r="I67" s="127" t="s">
        <v>30</v>
      </c>
      <c r="J67" s="77" t="e">
        <f>K66-390</f>
        <v>#REF!</v>
      </c>
    </row>
    <row r="68" spans="1:11" hidden="1" x14ac:dyDescent="0.25">
      <c r="A68" s="102" t="s">
        <v>377</v>
      </c>
      <c r="B68" s="102" t="s">
        <v>364</v>
      </c>
      <c r="C68" s="67">
        <v>46082</v>
      </c>
      <c r="D68" s="102">
        <v>11300</v>
      </c>
      <c r="E68" s="115" t="str">
        <f>VLOOKUP($D68,[1]계정코드!$A$5:$F$270,2,FALSE)</f>
        <v>건축헌금</v>
      </c>
      <c r="F68" s="107" t="s">
        <v>379</v>
      </c>
      <c r="G68" s="110">
        <v>30</v>
      </c>
      <c r="H68" s="111"/>
      <c r="I68" s="107"/>
      <c r="J68" s="107"/>
      <c r="K68" s="49" t="e">
        <f>K66+G68-H68</f>
        <v>#REF!</v>
      </c>
    </row>
    <row r="69" spans="1:11" hidden="1" x14ac:dyDescent="0.25">
      <c r="A69" s="102" t="s">
        <v>377</v>
      </c>
      <c r="B69" s="102" t="s">
        <v>364</v>
      </c>
      <c r="C69" s="67">
        <v>46082</v>
      </c>
      <c r="D69" s="102">
        <v>11300</v>
      </c>
      <c r="E69" s="115" t="str">
        <f>VLOOKUP($D69,[1]계정코드!$A$5:$F$270,2,FALSE)</f>
        <v>건축헌금</v>
      </c>
      <c r="F69" s="107" t="s">
        <v>379</v>
      </c>
      <c r="G69" s="110">
        <v>300</v>
      </c>
      <c r="H69" s="111"/>
      <c r="I69" s="107"/>
      <c r="J69" s="107"/>
      <c r="K69" s="49" t="e">
        <f>K68+G69-H69</f>
        <v>#REF!</v>
      </c>
    </row>
    <row r="70" spans="1:11" hidden="1" x14ac:dyDescent="0.25">
      <c r="A70" s="102" t="s">
        <v>377</v>
      </c>
      <c r="B70" s="102" t="s">
        <v>364</v>
      </c>
      <c r="C70" s="67" t="s">
        <v>402</v>
      </c>
      <c r="D70" s="102">
        <v>11300</v>
      </c>
      <c r="E70" s="115" t="str">
        <f>VLOOKUP($D70,[1]계정코드!$A$5:$F$270,2,FALSE)</f>
        <v>건축헌금</v>
      </c>
      <c r="F70" s="107" t="s">
        <v>403</v>
      </c>
      <c r="G70" s="110">
        <v>4330</v>
      </c>
      <c r="H70" s="111"/>
      <c r="I70" s="107"/>
      <c r="J70" s="107"/>
      <c r="K70" s="49" t="e">
        <f t="shared" si="1"/>
        <v>#REF!</v>
      </c>
    </row>
    <row r="71" spans="1:11" hidden="1" x14ac:dyDescent="0.25">
      <c r="A71" s="102" t="s">
        <v>377</v>
      </c>
      <c r="B71" s="102" t="s">
        <v>364</v>
      </c>
      <c r="C71" s="67">
        <v>46084</v>
      </c>
      <c r="D71" s="102">
        <v>11300</v>
      </c>
      <c r="E71" s="115" t="str">
        <f>VLOOKUP($D71,[1]계정코드!$A$5:$F$270,2,FALSE)</f>
        <v>건축헌금</v>
      </c>
      <c r="F71" s="107" t="s">
        <v>379</v>
      </c>
      <c r="G71" s="110">
        <v>150</v>
      </c>
      <c r="H71" s="111"/>
      <c r="I71" s="107"/>
      <c r="J71" s="107"/>
      <c r="K71" s="49" t="e">
        <f t="shared" si="1"/>
        <v>#REF!</v>
      </c>
    </row>
    <row r="72" spans="1:11" hidden="1" x14ac:dyDescent="0.25">
      <c r="A72" s="102" t="s">
        <v>377</v>
      </c>
      <c r="B72" s="102" t="s">
        <v>364</v>
      </c>
      <c r="C72" s="67">
        <v>46084</v>
      </c>
      <c r="D72" s="102">
        <v>11300</v>
      </c>
      <c r="E72" s="115" t="str">
        <f>VLOOKUP($D72,[1]계정코드!$A$5:$F$270,2,FALSE)</f>
        <v>건축헌금</v>
      </c>
      <c r="F72" s="107" t="s">
        <v>379</v>
      </c>
      <c r="G72" s="110">
        <v>200</v>
      </c>
      <c r="H72" s="111"/>
      <c r="I72" s="107"/>
      <c r="J72" s="107"/>
      <c r="K72" s="49" t="e">
        <f t="shared" si="1"/>
        <v>#REF!</v>
      </c>
    </row>
    <row r="73" spans="1:11" hidden="1" x14ac:dyDescent="0.25">
      <c r="A73" s="102" t="s">
        <v>377</v>
      </c>
      <c r="B73" s="102" t="s">
        <v>364</v>
      </c>
      <c r="C73" s="67">
        <v>46084</v>
      </c>
      <c r="D73" s="102">
        <v>62600</v>
      </c>
      <c r="E73" s="115" t="str">
        <f>VLOOKUP($D73,[1]계정코드!$A$5:$F$270,2,FALSE)</f>
        <v>건축</v>
      </c>
      <c r="F73" s="107" t="str">
        <f>VLOOKUP($D73,[1]계정코드!$A$5:$F$270,4,FALSE)</f>
        <v>매입부지 개발 관련</v>
      </c>
      <c r="G73" s="110"/>
      <c r="H73" s="111">
        <v>200</v>
      </c>
      <c r="I73" s="107"/>
      <c r="J73" s="107" t="s">
        <v>410</v>
      </c>
      <c r="K73" s="49" t="e">
        <f t="shared" si="1"/>
        <v>#REF!</v>
      </c>
    </row>
  </sheetData>
  <autoFilter ref="A3:N73"/>
  <mergeCells count="2">
    <mergeCell ref="L2:N2"/>
    <mergeCell ref="A67:F67"/>
  </mergeCells>
  <phoneticPr fontId="19" type="noConversion"/>
  <pageMargins left="0.23597222566604614" right="0.23597222566604614" top="0.74750000238418579" bottom="0.74750000238418579" header="0.31486111879348755" footer="0.31486111879348755"/>
  <pageSetup paperSize="9" scale="65" fitToHeight="0" orientation="portrait" horizontalDpi="4294967293" r:id="rId1"/>
  <headerFooter alignWithMargins="0">
    <oddFooter>&amp;C&amp;"맑은 고딕,Regular"&amp;P  of 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L8"/>
  <sheetViews>
    <sheetView zoomScale="80" zoomScaleNormal="80" workbookViewId="0">
      <selection activeCell="I18" sqref="I18"/>
    </sheetView>
  </sheetViews>
  <sheetFormatPr defaultRowHeight="14.4" x14ac:dyDescent="0.25"/>
  <cols>
    <col min="1" max="1" width="5.8984375" customWidth="1"/>
    <col min="2" max="2" width="7.3984375" customWidth="1"/>
    <col min="3" max="3" width="21.8984375" bestFit="1" customWidth="1"/>
    <col min="4" max="4" width="12.19921875" bestFit="1" customWidth="1"/>
    <col min="5" max="5" width="18.8984375" bestFit="1" customWidth="1"/>
    <col min="6" max="6" width="32.19921875" customWidth="1"/>
    <col min="7" max="7" width="11.8984375" customWidth="1"/>
    <col min="8" max="8" width="15" bestFit="1" customWidth="1"/>
    <col min="10" max="10" width="24.3984375" bestFit="1" customWidth="1"/>
    <col min="11" max="11" width="11.69921875" bestFit="1" customWidth="1"/>
  </cols>
  <sheetData>
    <row r="1" spans="1:12" ht="25.2" x14ac:dyDescent="0.25">
      <c r="A1" s="8" t="s">
        <v>396</v>
      </c>
      <c r="B1" s="8"/>
      <c r="C1" s="8"/>
      <c r="D1" s="8"/>
      <c r="E1" s="5"/>
      <c r="F1" s="5"/>
      <c r="G1" s="43"/>
      <c r="H1" s="41"/>
      <c r="I1" s="5"/>
      <c r="J1" s="2"/>
      <c r="K1" s="49"/>
    </row>
    <row r="2" spans="1:12" ht="17.399999999999999" x14ac:dyDescent="0.25">
      <c r="A2" s="2"/>
      <c r="B2" s="2"/>
      <c r="C2" s="2"/>
      <c r="D2" s="2"/>
      <c r="E2" s="2"/>
      <c r="F2" s="5"/>
      <c r="G2" s="43"/>
      <c r="H2" s="41"/>
      <c r="I2" s="7"/>
      <c r="J2" s="4" t="s">
        <v>286</v>
      </c>
      <c r="K2" s="49"/>
    </row>
    <row r="3" spans="1:12" s="3" customFormat="1" ht="37.5" customHeight="1" thickBot="1" x14ac:dyDescent="0.3">
      <c r="A3" s="118" t="s">
        <v>277</v>
      </c>
      <c r="B3" s="118" t="s">
        <v>278</v>
      </c>
      <c r="C3" s="119" t="s">
        <v>373</v>
      </c>
      <c r="D3" s="118" t="s">
        <v>324</v>
      </c>
      <c r="E3" s="118" t="s">
        <v>352</v>
      </c>
      <c r="F3" s="118" t="s">
        <v>272</v>
      </c>
      <c r="G3" s="120" t="s">
        <v>282</v>
      </c>
      <c r="H3" s="121" t="s">
        <v>291</v>
      </c>
      <c r="I3" s="118" t="s">
        <v>274</v>
      </c>
      <c r="J3" s="118" t="s">
        <v>275</v>
      </c>
      <c r="K3" s="122" t="s">
        <v>374</v>
      </c>
      <c r="L3" s="94"/>
    </row>
    <row r="4" spans="1:12" ht="19.8" thickTop="1" x14ac:dyDescent="0.25">
      <c r="A4" s="124" t="s">
        <v>372</v>
      </c>
      <c r="B4" s="124" t="s">
        <v>364</v>
      </c>
      <c r="C4" s="132"/>
      <c r="D4" s="124"/>
      <c r="E4" s="129"/>
      <c r="F4" s="126"/>
      <c r="G4" s="130"/>
      <c r="H4" s="131"/>
      <c r="I4" s="126"/>
      <c r="J4" s="126"/>
      <c r="K4" s="123" t="e">
        <f>#REF!+G4-H4</f>
        <v>#REF!</v>
      </c>
    </row>
    <row r="5" spans="1:12" ht="19.2" x14ac:dyDescent="0.25">
      <c r="A5" s="124" t="s">
        <v>372</v>
      </c>
      <c r="B5" s="124" t="s">
        <v>364</v>
      </c>
      <c r="C5" s="125"/>
      <c r="D5" s="124"/>
      <c r="E5" s="129"/>
      <c r="F5" s="126"/>
      <c r="G5" s="130"/>
      <c r="H5" s="131"/>
      <c r="I5" s="126"/>
      <c r="J5" s="126"/>
      <c r="K5" s="123" t="e">
        <f>K4+G5-H5</f>
        <v>#REF!</v>
      </c>
    </row>
    <row r="6" spans="1:12" ht="19.2" x14ac:dyDescent="0.25">
      <c r="A6" s="124" t="s">
        <v>372</v>
      </c>
      <c r="B6" s="124" t="s">
        <v>365</v>
      </c>
      <c r="C6" s="125"/>
      <c r="D6" s="124"/>
      <c r="E6" s="129"/>
      <c r="F6" s="126"/>
      <c r="G6" s="130"/>
      <c r="H6" s="131"/>
      <c r="I6" s="126"/>
      <c r="J6" s="126"/>
      <c r="K6" s="123" t="e">
        <f>K5+G6-H6</f>
        <v>#REF!</v>
      </c>
    </row>
    <row r="7" spans="1:12" ht="19.8" thickBot="1" x14ac:dyDescent="0.3">
      <c r="A7" s="124" t="s">
        <v>372</v>
      </c>
      <c r="B7" s="124" t="s">
        <v>365</v>
      </c>
      <c r="C7" s="125"/>
      <c r="D7" s="124"/>
      <c r="E7" s="129"/>
      <c r="F7" s="126"/>
      <c r="G7" s="130"/>
      <c r="H7" s="131"/>
      <c r="I7" s="126"/>
      <c r="J7" s="126"/>
      <c r="K7" s="123" t="e">
        <f>K6+G7-H7</f>
        <v>#REF!</v>
      </c>
    </row>
    <row r="8" spans="1:12" ht="20.399999999999999" thickTop="1" thickBot="1" x14ac:dyDescent="0.3">
      <c r="A8" s="135" t="s">
        <v>404</v>
      </c>
      <c r="B8" s="136"/>
      <c r="C8" s="136"/>
      <c r="D8" s="136"/>
      <c r="E8" s="136"/>
      <c r="F8" s="137"/>
      <c r="G8" s="98">
        <f>SUM(G4:G7)</f>
        <v>0</v>
      </c>
      <c r="H8" s="98">
        <f>SUM(H4:H7)</f>
        <v>0</v>
      </c>
      <c r="I8" s="127" t="s">
        <v>30</v>
      </c>
      <c r="J8" s="77" t="e">
        <f>K7</f>
        <v>#REF!</v>
      </c>
      <c r="K8" s="123"/>
    </row>
  </sheetData>
  <autoFilter ref="A3:K3"/>
  <mergeCells count="1">
    <mergeCell ref="A8:F8"/>
  </mergeCells>
  <phoneticPr fontId="19" type="noConversion"/>
  <pageMargins left="0.7" right="0.7" top="0.75" bottom="0.75" header="0.3" footer="0.3"/>
  <pageSetup paperSize="9" scale="4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10"/>
    <pageSetUpPr fitToPage="1"/>
  </sheetPr>
  <dimension ref="A1:K44"/>
  <sheetViews>
    <sheetView showGridLines="0" zoomScale="96" zoomScaleNormal="96" zoomScaleSheetLayoutView="75" workbookViewId="0">
      <pane xSplit="3" ySplit="3" topLeftCell="D4" activePane="bottomRight" state="frozen"/>
      <selection activeCell="J606" sqref="J606"/>
      <selection pane="topRight"/>
      <selection pane="bottomLeft"/>
      <selection pane="bottomRight" activeCell="I51" sqref="I51"/>
    </sheetView>
  </sheetViews>
  <sheetFormatPr defaultColWidth="8.8984375" defaultRowHeight="17.399999999999999" x14ac:dyDescent="0.25"/>
  <cols>
    <col min="1" max="2" width="5.09765625" style="2" customWidth="1"/>
    <col min="3" max="3" width="17" style="2" bestFit="1" customWidth="1"/>
    <col min="4" max="4" width="9.19921875" style="2" bestFit="1" customWidth="1"/>
    <col min="5" max="5" width="13" style="2" customWidth="1"/>
    <col min="6" max="6" width="23.8984375" style="5" bestFit="1" customWidth="1"/>
    <col min="7" max="7" width="10.3984375" style="43" customWidth="1"/>
    <col min="8" max="8" width="12.19921875" style="41" customWidth="1"/>
    <col min="9" max="9" width="10.19921875" style="5" customWidth="1"/>
    <col min="10" max="10" width="20.3984375" style="2" customWidth="1"/>
    <col min="11" max="11" width="9.296875" style="49" bestFit="1" customWidth="1"/>
    <col min="12" max="14" width="13" style="2" customWidth="1"/>
    <col min="15" max="16384" width="8.8984375" style="2"/>
  </cols>
  <sheetData>
    <row r="1" spans="1:11" ht="25.2" x14ac:dyDescent="0.25">
      <c r="A1" s="8" t="s">
        <v>397</v>
      </c>
      <c r="B1" s="8"/>
      <c r="C1" s="8"/>
      <c r="D1" s="8"/>
      <c r="E1" s="5"/>
    </row>
    <row r="2" spans="1:11" x14ac:dyDescent="0.25">
      <c r="I2" s="7"/>
      <c r="J2" s="4" t="s">
        <v>286</v>
      </c>
    </row>
    <row r="3" spans="1:11" s="3" customFormat="1" ht="37.5" customHeight="1" thickBot="1" x14ac:dyDescent="0.3">
      <c r="A3" s="6" t="s">
        <v>277</v>
      </c>
      <c r="B3" s="6" t="s">
        <v>278</v>
      </c>
      <c r="C3" s="9" t="s">
        <v>204</v>
      </c>
      <c r="D3" s="6" t="s">
        <v>324</v>
      </c>
      <c r="E3" s="6" t="s">
        <v>352</v>
      </c>
      <c r="F3" s="6" t="s">
        <v>272</v>
      </c>
      <c r="G3" s="47" t="s">
        <v>282</v>
      </c>
      <c r="H3" s="48" t="s">
        <v>291</v>
      </c>
      <c r="I3" s="6" t="s">
        <v>274</v>
      </c>
      <c r="J3" s="6" t="s">
        <v>275</v>
      </c>
      <c r="K3" s="53" t="s">
        <v>288</v>
      </c>
    </row>
    <row r="4" spans="1:11" ht="20.399999999999999" thickTop="1" thickBot="1" x14ac:dyDescent="0.3">
      <c r="A4" s="135" t="s">
        <v>405</v>
      </c>
      <c r="B4" s="136"/>
      <c r="C4" s="136"/>
      <c r="D4" s="136"/>
      <c r="E4" s="136"/>
      <c r="F4" s="137"/>
      <c r="G4" s="98" t="e">
        <f>SUM(#REF!)-307+390-20</f>
        <v>#REF!</v>
      </c>
      <c r="H4" s="98" t="e">
        <f>SUM(#REF!)-307</f>
        <v>#REF!</v>
      </c>
      <c r="I4" s="127" t="s">
        <v>30</v>
      </c>
      <c r="J4" s="77" t="e">
        <f>#REF!+390</f>
        <v>#REF!</v>
      </c>
    </row>
    <row r="5" spans="1:11" x14ac:dyDescent="0.25">
      <c r="A5" s="102"/>
      <c r="B5" s="102"/>
      <c r="C5" s="67"/>
      <c r="D5" s="102"/>
      <c r="E5" s="115" t="e">
        <f>VLOOKUP($D5,[1]계정코드!$A$5:$F$270,2,FALSE)</f>
        <v>#N/A</v>
      </c>
      <c r="F5" s="107" t="e">
        <f>VLOOKUP($D5,[1]계정코드!$A$5:$F$270,4,FALSE)</f>
        <v>#N/A</v>
      </c>
      <c r="G5" s="110"/>
      <c r="H5" s="111"/>
      <c r="I5" s="107"/>
      <c r="J5" s="107"/>
      <c r="K5" s="49" t="e">
        <f>#REF!+G5-H5</f>
        <v>#REF!</v>
      </c>
    </row>
    <row r="6" spans="1:11" x14ac:dyDescent="0.25">
      <c r="A6" s="102"/>
      <c r="B6" s="102"/>
      <c r="C6" s="67"/>
      <c r="D6" s="102"/>
      <c r="E6" s="115" t="e">
        <f>VLOOKUP($D6,[1]계정코드!$A$5:$F$270,2,FALSE)</f>
        <v>#N/A</v>
      </c>
      <c r="F6" s="107" t="e">
        <f>VLOOKUP($D6,[1]계정코드!$A$5:$F$270,4,FALSE)</f>
        <v>#N/A</v>
      </c>
      <c r="G6" s="110"/>
      <c r="H6" s="111"/>
      <c r="I6" s="107"/>
      <c r="J6" s="107"/>
      <c r="K6" s="49" t="e">
        <f>K5+G6-H6</f>
        <v>#REF!</v>
      </c>
    </row>
    <row r="7" spans="1:11" x14ac:dyDescent="0.25">
      <c r="A7" s="102"/>
      <c r="B7" s="102"/>
      <c r="C7" s="67"/>
      <c r="D7" s="102"/>
      <c r="E7" s="115" t="e">
        <f>VLOOKUP($D7,[1]계정코드!$A$5:$F$270,2,FALSE)</f>
        <v>#N/A</v>
      </c>
      <c r="F7" s="107" t="e">
        <f>VLOOKUP($D7,[1]계정코드!$A$5:$F$270,4,FALSE)</f>
        <v>#N/A</v>
      </c>
      <c r="G7" s="110"/>
      <c r="H7" s="111"/>
      <c r="I7" s="107"/>
      <c r="J7" s="107"/>
      <c r="K7" s="49" t="e">
        <f t="shared" ref="K7:K44" si="0">K6+G7-H7</f>
        <v>#REF!</v>
      </c>
    </row>
    <row r="8" spans="1:11" x14ac:dyDescent="0.25">
      <c r="A8" s="102"/>
      <c r="B8" s="102"/>
      <c r="C8" s="128"/>
      <c r="D8" s="102"/>
      <c r="E8" s="115" t="e">
        <f>VLOOKUP($D8,[1]계정코드!$A$5:$F$270,2,FALSE)</f>
        <v>#N/A</v>
      </c>
      <c r="F8" s="107" t="e">
        <f>VLOOKUP($D8,[1]계정코드!$A$5:$F$270,4,FALSE)</f>
        <v>#N/A</v>
      </c>
      <c r="G8" s="110"/>
      <c r="H8" s="111"/>
      <c r="I8" s="107"/>
      <c r="J8" s="107"/>
      <c r="K8" s="49" t="e">
        <f t="shared" si="0"/>
        <v>#REF!</v>
      </c>
    </row>
    <row r="9" spans="1:11" x14ac:dyDescent="0.25">
      <c r="A9" s="102"/>
      <c r="B9" s="102"/>
      <c r="C9" s="67"/>
      <c r="D9" s="102"/>
      <c r="E9" s="115" t="e">
        <f>VLOOKUP($D9,[1]계정코드!$A$5:$F$270,2,FALSE)</f>
        <v>#N/A</v>
      </c>
      <c r="F9" s="107" t="e">
        <f>VLOOKUP($D9,[1]계정코드!$A$5:$F$270,4,FALSE)</f>
        <v>#N/A</v>
      </c>
      <c r="G9" s="110"/>
      <c r="H9" s="111"/>
      <c r="I9" s="107"/>
      <c r="J9" s="107"/>
      <c r="K9" s="49" t="e">
        <f t="shared" si="0"/>
        <v>#REF!</v>
      </c>
    </row>
    <row r="10" spans="1:11" x14ac:dyDescent="0.25">
      <c r="A10" s="102"/>
      <c r="B10" s="102"/>
      <c r="C10" s="67"/>
      <c r="D10" s="102"/>
      <c r="E10" s="115" t="e">
        <f>VLOOKUP($D10,[1]계정코드!$A$5:$F$270,2,FALSE)</f>
        <v>#N/A</v>
      </c>
      <c r="F10" s="107" t="e">
        <f>VLOOKUP($D10,[1]계정코드!$A$5:$F$270,4,FALSE)</f>
        <v>#N/A</v>
      </c>
      <c r="G10" s="110"/>
      <c r="H10" s="111"/>
      <c r="I10" s="107"/>
      <c r="J10" s="107"/>
      <c r="K10" s="49" t="e">
        <f t="shared" si="0"/>
        <v>#REF!</v>
      </c>
    </row>
    <row r="11" spans="1:11" x14ac:dyDescent="0.25">
      <c r="A11" s="102"/>
      <c r="B11" s="102"/>
      <c r="C11" s="67"/>
      <c r="D11" s="102"/>
      <c r="E11" s="115" t="e">
        <f>VLOOKUP($D11,[1]계정코드!$A$5:$F$270,2,FALSE)</f>
        <v>#N/A</v>
      </c>
      <c r="F11" s="107" t="e">
        <f>VLOOKUP($D11,[1]계정코드!$A$5:$F$270,4,FALSE)</f>
        <v>#N/A</v>
      </c>
      <c r="G11" s="110"/>
      <c r="H11" s="111"/>
      <c r="I11" s="107"/>
      <c r="J11" s="107"/>
      <c r="K11" s="49" t="e">
        <f t="shared" si="0"/>
        <v>#REF!</v>
      </c>
    </row>
    <row r="12" spans="1:11" x14ac:dyDescent="0.25">
      <c r="A12" s="102"/>
      <c r="B12" s="102"/>
      <c r="C12" s="67"/>
      <c r="D12" s="102"/>
      <c r="E12" s="115" t="e">
        <f>VLOOKUP($D12,[1]계정코드!$A$5:$F$270,2,FALSE)</f>
        <v>#N/A</v>
      </c>
      <c r="F12" s="107" t="e">
        <f>VLOOKUP($D12,[1]계정코드!$A$5:$F$270,4,FALSE)</f>
        <v>#N/A</v>
      </c>
      <c r="G12" s="110"/>
      <c r="H12" s="111"/>
      <c r="I12" s="107"/>
      <c r="J12" s="107"/>
      <c r="K12" s="49" t="e">
        <f t="shared" si="0"/>
        <v>#REF!</v>
      </c>
    </row>
    <row r="13" spans="1:11" x14ac:dyDescent="0.25">
      <c r="A13" s="102"/>
      <c r="B13" s="102"/>
      <c r="C13" s="67"/>
      <c r="D13" s="102"/>
      <c r="E13" s="115" t="e">
        <f>VLOOKUP($D13,[1]계정코드!$A$5:$F$270,2,FALSE)</f>
        <v>#N/A</v>
      </c>
      <c r="F13" s="107" t="e">
        <f>VLOOKUP($D13,[1]계정코드!$A$5:$F$270,4,FALSE)</f>
        <v>#N/A</v>
      </c>
      <c r="G13" s="110"/>
      <c r="H13" s="111"/>
      <c r="I13" s="107"/>
      <c r="J13" s="107"/>
      <c r="K13" s="49" t="e">
        <f t="shared" si="0"/>
        <v>#REF!</v>
      </c>
    </row>
    <row r="14" spans="1:11" x14ac:dyDescent="0.25">
      <c r="A14" s="102"/>
      <c r="B14" s="102"/>
      <c r="C14" s="67"/>
      <c r="D14" s="102"/>
      <c r="E14" s="115" t="e">
        <f>VLOOKUP($D14,[1]계정코드!$A$5:$F$270,2,FALSE)</f>
        <v>#N/A</v>
      </c>
      <c r="F14" s="107" t="e">
        <f>VLOOKUP($D14,[1]계정코드!$A$5:$F$270,4,FALSE)</f>
        <v>#N/A</v>
      </c>
      <c r="G14" s="110"/>
      <c r="H14" s="111"/>
      <c r="I14" s="107"/>
      <c r="J14" s="107"/>
      <c r="K14" s="49" t="e">
        <f t="shared" si="0"/>
        <v>#REF!</v>
      </c>
    </row>
    <row r="15" spans="1:11" x14ac:dyDescent="0.25">
      <c r="A15" s="102"/>
      <c r="B15" s="102"/>
      <c r="C15" s="67"/>
      <c r="D15" s="102"/>
      <c r="E15" s="115" t="e">
        <f>VLOOKUP($D15,[1]계정코드!$A$5:$F$270,2,FALSE)</f>
        <v>#N/A</v>
      </c>
      <c r="F15" s="107" t="e">
        <f>VLOOKUP($D15,[1]계정코드!$A$5:$F$270,4,FALSE)</f>
        <v>#N/A</v>
      </c>
      <c r="G15" s="110"/>
      <c r="H15" s="111"/>
      <c r="I15" s="107"/>
      <c r="J15" s="107"/>
      <c r="K15" s="49" t="e">
        <f t="shared" si="0"/>
        <v>#REF!</v>
      </c>
    </row>
    <row r="16" spans="1:11" x14ac:dyDescent="0.25">
      <c r="A16" s="102"/>
      <c r="B16" s="102"/>
      <c r="C16" s="67"/>
      <c r="D16" s="102"/>
      <c r="E16" s="115" t="e">
        <f>VLOOKUP($D16,[1]계정코드!$A$5:$F$270,2,FALSE)</f>
        <v>#N/A</v>
      </c>
      <c r="F16" s="107" t="e">
        <f>VLOOKUP($D16,[1]계정코드!$A$5:$F$270,4,FALSE)</f>
        <v>#N/A</v>
      </c>
      <c r="G16" s="110"/>
      <c r="H16" s="111"/>
      <c r="I16" s="107"/>
      <c r="J16" s="107"/>
      <c r="K16" s="49" t="e">
        <f t="shared" si="0"/>
        <v>#REF!</v>
      </c>
    </row>
    <row r="17" spans="1:11" x14ac:dyDescent="0.25">
      <c r="A17" s="102"/>
      <c r="B17" s="102"/>
      <c r="C17" s="67"/>
      <c r="D17" s="102"/>
      <c r="E17" s="115" t="e">
        <f>VLOOKUP($D17,[1]계정코드!$A$5:$F$270,2,FALSE)</f>
        <v>#N/A</v>
      </c>
      <c r="F17" s="107" t="e">
        <f>VLOOKUP($D17,[1]계정코드!$A$5:$F$270,4,FALSE)</f>
        <v>#N/A</v>
      </c>
      <c r="G17" s="110"/>
      <c r="H17" s="111"/>
      <c r="I17" s="107"/>
      <c r="J17" s="107"/>
      <c r="K17" s="49" t="e">
        <f t="shared" si="0"/>
        <v>#REF!</v>
      </c>
    </row>
    <row r="18" spans="1:11" x14ac:dyDescent="0.25">
      <c r="A18" s="116"/>
      <c r="B18" s="116"/>
      <c r="C18" s="112"/>
      <c r="D18" s="116"/>
      <c r="E18" s="115" t="e">
        <f>VLOOKUP($D18,[1]계정코드!$A$5:$F$270,2,FALSE)</f>
        <v>#N/A</v>
      </c>
      <c r="F18" s="107" t="e">
        <f>VLOOKUP($D18,[1]계정코드!$A$5:$F$270,4,FALSE)</f>
        <v>#N/A</v>
      </c>
      <c r="G18" s="113"/>
      <c r="H18" s="114"/>
      <c r="I18" s="117"/>
      <c r="J18" s="133"/>
      <c r="K18" s="49" t="e">
        <f t="shared" si="0"/>
        <v>#REF!</v>
      </c>
    </row>
    <row r="19" spans="1:11" x14ac:dyDescent="0.25">
      <c r="A19" s="67"/>
      <c r="B19" s="102"/>
      <c r="C19" s="67"/>
      <c r="D19" s="102"/>
      <c r="E19" s="115" t="e">
        <f>VLOOKUP($D19,[1]계정코드!$A$5:$F$270,2,FALSE)</f>
        <v>#N/A</v>
      </c>
      <c r="F19" s="107" t="e">
        <f>VLOOKUP($D19,[1]계정코드!$A$5:$F$270,4,FALSE)</f>
        <v>#N/A</v>
      </c>
      <c r="G19" s="110"/>
      <c r="H19" s="111"/>
      <c r="I19" s="107"/>
      <c r="J19" s="107"/>
      <c r="K19" s="49" t="e">
        <f t="shared" si="0"/>
        <v>#REF!</v>
      </c>
    </row>
    <row r="20" spans="1:11" x14ac:dyDescent="0.25">
      <c r="A20" s="116"/>
      <c r="B20" s="116"/>
      <c r="C20" s="112"/>
      <c r="D20" s="116"/>
      <c r="E20" s="115" t="e">
        <f>VLOOKUP($D20,[1]계정코드!$A$5:$F$270,2,FALSE)</f>
        <v>#N/A</v>
      </c>
      <c r="F20" s="107" t="e">
        <f>VLOOKUP($D20,[1]계정코드!$A$5:$F$270,4,FALSE)</f>
        <v>#N/A</v>
      </c>
      <c r="G20" s="113"/>
      <c r="H20" s="114"/>
      <c r="I20" s="117"/>
      <c r="J20" s="133"/>
      <c r="K20" s="49" t="e">
        <f t="shared" si="0"/>
        <v>#REF!</v>
      </c>
    </row>
    <row r="21" spans="1:11" x14ac:dyDescent="0.25">
      <c r="A21" s="102"/>
      <c r="B21" s="102"/>
      <c r="C21" s="67"/>
      <c r="D21" s="102"/>
      <c r="E21" s="115" t="e">
        <f>VLOOKUP($D21,[1]계정코드!$A$5:$F$270,2,FALSE)</f>
        <v>#N/A</v>
      </c>
      <c r="F21" s="107" t="e">
        <f>VLOOKUP($D21,[1]계정코드!$A$5:$F$270,4,FALSE)</f>
        <v>#N/A</v>
      </c>
      <c r="G21" s="110"/>
      <c r="H21" s="111"/>
      <c r="I21" s="107"/>
      <c r="J21" s="107"/>
      <c r="K21" s="49" t="e">
        <f t="shared" si="0"/>
        <v>#REF!</v>
      </c>
    </row>
    <row r="22" spans="1:11" x14ac:dyDescent="0.25">
      <c r="A22" s="102"/>
      <c r="B22" s="102"/>
      <c r="C22" s="67"/>
      <c r="D22" s="102"/>
      <c r="E22" s="115" t="e">
        <f>VLOOKUP($D22,[1]계정코드!$A$5:$F$270,2,FALSE)</f>
        <v>#N/A</v>
      </c>
      <c r="F22" s="107" t="e">
        <f>VLOOKUP($D22,[1]계정코드!$A$5:$F$270,4,FALSE)</f>
        <v>#N/A</v>
      </c>
      <c r="G22" s="110"/>
      <c r="H22" s="111"/>
      <c r="I22" s="107"/>
      <c r="J22" s="107"/>
      <c r="K22" s="49" t="e">
        <f t="shared" si="0"/>
        <v>#REF!</v>
      </c>
    </row>
    <row r="23" spans="1:11" x14ac:dyDescent="0.25">
      <c r="A23" s="102"/>
      <c r="B23" s="102"/>
      <c r="C23" s="67"/>
      <c r="D23" s="102"/>
      <c r="E23" s="115" t="e">
        <f>VLOOKUP($D23,[1]계정코드!$A$5:$F$270,2,FALSE)</f>
        <v>#N/A</v>
      </c>
      <c r="F23" s="107" t="e">
        <f>VLOOKUP($D23,[1]계정코드!$A$5:$F$270,4,FALSE)</f>
        <v>#N/A</v>
      </c>
      <c r="G23" s="110"/>
      <c r="H23" s="111"/>
      <c r="I23" s="107"/>
      <c r="J23" s="107"/>
      <c r="K23" s="49" t="e">
        <f t="shared" si="0"/>
        <v>#REF!</v>
      </c>
    </row>
    <row r="24" spans="1:11" x14ac:dyDescent="0.25">
      <c r="A24" s="102"/>
      <c r="B24" s="102"/>
      <c r="C24" s="67"/>
      <c r="D24" s="102"/>
      <c r="E24" s="115" t="e">
        <f>VLOOKUP($D24,[1]계정코드!$A$5:$F$270,2,FALSE)</f>
        <v>#N/A</v>
      </c>
      <c r="F24" s="107" t="e">
        <f>VLOOKUP($D24,[1]계정코드!$A$5:$F$270,4,FALSE)</f>
        <v>#N/A</v>
      </c>
      <c r="G24" s="110"/>
      <c r="H24" s="111"/>
      <c r="I24" s="107"/>
      <c r="J24" s="107"/>
      <c r="K24" s="49" t="e">
        <f t="shared" si="0"/>
        <v>#REF!</v>
      </c>
    </row>
    <row r="25" spans="1:11" x14ac:dyDescent="0.25">
      <c r="A25" s="102"/>
      <c r="B25" s="102"/>
      <c r="C25" s="67"/>
      <c r="D25" s="102"/>
      <c r="E25" s="115" t="e">
        <f>VLOOKUP($D25,[1]계정코드!$A$5:$F$270,2,FALSE)</f>
        <v>#N/A</v>
      </c>
      <c r="F25" s="107" t="e">
        <f>VLOOKUP($D25,[1]계정코드!$A$5:$F$270,4,FALSE)</f>
        <v>#N/A</v>
      </c>
      <c r="G25" s="110"/>
      <c r="H25" s="111"/>
      <c r="I25" s="107"/>
      <c r="J25" s="107"/>
      <c r="K25" s="49" t="e">
        <f t="shared" si="0"/>
        <v>#REF!</v>
      </c>
    </row>
    <row r="26" spans="1:11" x14ac:dyDescent="0.25">
      <c r="A26" s="102"/>
      <c r="B26" s="102"/>
      <c r="C26" s="67"/>
      <c r="D26" s="102"/>
      <c r="E26" s="115" t="e">
        <f>VLOOKUP($D26,[1]계정코드!$A$5:$F$270,2,FALSE)</f>
        <v>#N/A</v>
      </c>
      <c r="F26" s="107" t="e">
        <f>VLOOKUP($D26,[1]계정코드!$A$5:$F$270,4,FALSE)</f>
        <v>#N/A</v>
      </c>
      <c r="G26" s="110"/>
      <c r="H26" s="111"/>
      <c r="I26" s="107"/>
      <c r="J26" s="107"/>
      <c r="K26" s="49" t="e">
        <f t="shared" si="0"/>
        <v>#REF!</v>
      </c>
    </row>
    <row r="27" spans="1:11" x14ac:dyDescent="0.25">
      <c r="A27" s="102"/>
      <c r="B27" s="102"/>
      <c r="C27" s="67"/>
      <c r="D27" s="102"/>
      <c r="E27" s="115" t="e">
        <f>VLOOKUP($D27,[1]계정코드!$A$5:$F$270,2,FALSE)</f>
        <v>#N/A</v>
      </c>
      <c r="F27" s="107" t="e">
        <f>VLOOKUP($D27,[1]계정코드!$A$5:$F$270,4,FALSE)</f>
        <v>#N/A</v>
      </c>
      <c r="G27" s="110"/>
      <c r="H27" s="111"/>
      <c r="I27" s="107"/>
      <c r="J27" s="107"/>
      <c r="K27" s="49" t="e">
        <f t="shared" si="0"/>
        <v>#REF!</v>
      </c>
    </row>
    <row r="28" spans="1:11" x14ac:dyDescent="0.25">
      <c r="A28" s="102"/>
      <c r="B28" s="102"/>
      <c r="C28" s="67"/>
      <c r="D28" s="102"/>
      <c r="E28" s="115" t="e">
        <f>VLOOKUP($D28,[1]계정코드!$A$5:$F$270,2,FALSE)</f>
        <v>#N/A</v>
      </c>
      <c r="F28" s="107" t="e">
        <f>VLOOKUP($D28,[1]계정코드!$A$5:$F$270,4,FALSE)</f>
        <v>#N/A</v>
      </c>
      <c r="G28" s="110"/>
      <c r="H28" s="111"/>
      <c r="I28" s="107"/>
      <c r="J28" s="107"/>
      <c r="K28" s="49" t="e">
        <f t="shared" si="0"/>
        <v>#REF!</v>
      </c>
    </row>
    <row r="29" spans="1:11" x14ac:dyDescent="0.25">
      <c r="A29" s="102"/>
      <c r="B29" s="102"/>
      <c r="C29" s="67"/>
      <c r="D29" s="102"/>
      <c r="E29" s="115" t="e">
        <f>VLOOKUP($D29,[1]계정코드!$A$5:$F$270,2,FALSE)</f>
        <v>#N/A</v>
      </c>
      <c r="F29" s="107" t="e">
        <f>VLOOKUP($D29,[1]계정코드!$A$5:$F$270,4,FALSE)</f>
        <v>#N/A</v>
      </c>
      <c r="G29" s="110"/>
      <c r="H29" s="111"/>
      <c r="I29" s="107"/>
      <c r="J29" s="107"/>
      <c r="K29" s="49" t="e">
        <f t="shared" si="0"/>
        <v>#REF!</v>
      </c>
    </row>
    <row r="30" spans="1:11" x14ac:dyDescent="0.25">
      <c r="A30" s="102"/>
      <c r="B30" s="102"/>
      <c r="C30" s="67"/>
      <c r="D30" s="102"/>
      <c r="E30" s="115" t="e">
        <f>VLOOKUP($D30,[1]계정코드!$A$5:$F$270,2,FALSE)</f>
        <v>#N/A</v>
      </c>
      <c r="F30" s="107" t="e">
        <f>VLOOKUP($D30,[1]계정코드!$A$5:$F$270,4,FALSE)</f>
        <v>#N/A</v>
      </c>
      <c r="G30" s="110"/>
      <c r="H30" s="111"/>
      <c r="I30" s="107"/>
      <c r="J30" s="107"/>
      <c r="K30" s="49" t="e">
        <f t="shared" si="0"/>
        <v>#REF!</v>
      </c>
    </row>
    <row r="31" spans="1:11" x14ac:dyDescent="0.25">
      <c r="A31" s="102"/>
      <c r="B31" s="102"/>
      <c r="C31" s="67"/>
      <c r="D31" s="102"/>
      <c r="E31" s="115" t="e">
        <f>VLOOKUP($D31,[1]계정코드!$A$5:$F$270,2,FALSE)</f>
        <v>#N/A</v>
      </c>
      <c r="F31" s="107" t="e">
        <f>VLOOKUP($D31,[1]계정코드!$A$5:$F$270,4,FALSE)</f>
        <v>#N/A</v>
      </c>
      <c r="G31" s="110"/>
      <c r="H31" s="111"/>
      <c r="I31" s="107"/>
      <c r="J31" s="107"/>
      <c r="K31" s="49" t="e">
        <f t="shared" si="0"/>
        <v>#REF!</v>
      </c>
    </row>
    <row r="32" spans="1:11" x14ac:dyDescent="0.25">
      <c r="A32" s="102"/>
      <c r="B32" s="102"/>
      <c r="C32" s="67"/>
      <c r="D32" s="102"/>
      <c r="E32" s="115" t="e">
        <f>VLOOKUP($D32,[1]계정코드!$A$5:$F$270,2,FALSE)</f>
        <v>#N/A</v>
      </c>
      <c r="F32" s="107" t="e">
        <f>VLOOKUP($D32,[1]계정코드!$A$5:$F$270,4,FALSE)</f>
        <v>#N/A</v>
      </c>
      <c r="G32" s="110"/>
      <c r="H32" s="111"/>
      <c r="I32" s="107"/>
      <c r="J32" s="107"/>
      <c r="K32" s="49" t="e">
        <f t="shared" si="0"/>
        <v>#REF!</v>
      </c>
    </row>
    <row r="33" spans="1:11" x14ac:dyDescent="0.25">
      <c r="A33" s="102"/>
      <c r="B33" s="102"/>
      <c r="C33" s="67"/>
      <c r="D33" s="102"/>
      <c r="E33" s="115" t="e">
        <f>VLOOKUP($D33,[1]계정코드!$A$5:$F$270,2,FALSE)</f>
        <v>#N/A</v>
      </c>
      <c r="F33" s="107" t="e">
        <f>VLOOKUP($D33,[1]계정코드!$A$5:$F$270,4,FALSE)</f>
        <v>#N/A</v>
      </c>
      <c r="G33" s="110"/>
      <c r="H33" s="111"/>
      <c r="I33" s="107"/>
      <c r="J33" s="107"/>
      <c r="K33" s="49" t="e">
        <f t="shared" si="0"/>
        <v>#REF!</v>
      </c>
    </row>
    <row r="34" spans="1:11" x14ac:dyDescent="0.25">
      <c r="A34" s="102"/>
      <c r="B34" s="102"/>
      <c r="C34" s="67"/>
      <c r="D34" s="102"/>
      <c r="E34" s="115" t="e">
        <f>VLOOKUP($D34,[1]계정코드!$A$5:$F$270,2,FALSE)</f>
        <v>#N/A</v>
      </c>
      <c r="F34" s="107" t="e">
        <f>VLOOKUP($D34,[1]계정코드!$A$5:$F$270,4,FALSE)</f>
        <v>#N/A</v>
      </c>
      <c r="G34" s="110"/>
      <c r="H34" s="111"/>
      <c r="I34" s="107"/>
      <c r="J34" s="107"/>
      <c r="K34" s="49" t="e">
        <f t="shared" si="0"/>
        <v>#REF!</v>
      </c>
    </row>
    <row r="35" spans="1:11" x14ac:dyDescent="0.25">
      <c r="A35" s="102"/>
      <c r="B35" s="102"/>
      <c r="C35" s="67"/>
      <c r="D35" s="102"/>
      <c r="E35" s="115" t="e">
        <f>VLOOKUP($D35,[1]계정코드!$A$5:$F$270,2,FALSE)</f>
        <v>#N/A</v>
      </c>
      <c r="F35" s="107" t="e">
        <f>VLOOKUP($D35,[1]계정코드!$A$5:$F$270,4,FALSE)</f>
        <v>#N/A</v>
      </c>
      <c r="G35" s="110"/>
      <c r="H35" s="111"/>
      <c r="I35" s="107"/>
      <c r="J35" s="107"/>
      <c r="K35" s="49" t="e">
        <f t="shared" si="0"/>
        <v>#REF!</v>
      </c>
    </row>
    <row r="36" spans="1:11" x14ac:dyDescent="0.25">
      <c r="A36" s="102"/>
      <c r="B36" s="102"/>
      <c r="C36" s="67"/>
      <c r="D36" s="102"/>
      <c r="E36" s="115" t="e">
        <f>VLOOKUP($D36,[1]계정코드!$A$5:$F$270,2,FALSE)</f>
        <v>#N/A</v>
      </c>
      <c r="F36" s="107" t="e">
        <f>VLOOKUP($D36,[1]계정코드!$A$5:$F$270,4,FALSE)</f>
        <v>#N/A</v>
      </c>
      <c r="G36" s="110"/>
      <c r="H36" s="111"/>
      <c r="I36" s="107"/>
      <c r="J36" s="107"/>
      <c r="K36" s="49" t="e">
        <f t="shared" si="0"/>
        <v>#REF!</v>
      </c>
    </row>
    <row r="37" spans="1:11" x14ac:dyDescent="0.25">
      <c r="A37" s="102"/>
      <c r="B37" s="102"/>
      <c r="C37" s="67"/>
      <c r="D37" s="102"/>
      <c r="E37" s="115" t="e">
        <f>VLOOKUP($D37,[1]계정코드!$A$5:$F$270,2,FALSE)</f>
        <v>#N/A</v>
      </c>
      <c r="F37" s="107" t="e">
        <f>VLOOKUP($D37,[1]계정코드!$A$5:$F$270,4,FALSE)</f>
        <v>#N/A</v>
      </c>
      <c r="G37" s="110"/>
      <c r="H37" s="111"/>
      <c r="I37" s="107"/>
      <c r="J37" s="107"/>
      <c r="K37" s="49" t="e">
        <f t="shared" si="0"/>
        <v>#REF!</v>
      </c>
    </row>
    <row r="38" spans="1:11" x14ac:dyDescent="0.25">
      <c r="A38" s="102"/>
      <c r="B38" s="102"/>
      <c r="C38" s="67"/>
      <c r="D38" s="102"/>
      <c r="E38" s="115" t="e">
        <f>VLOOKUP($D38,[1]계정코드!$A$5:$F$270,2,FALSE)</f>
        <v>#N/A</v>
      </c>
      <c r="F38" s="107" t="e">
        <f>VLOOKUP($D38,[1]계정코드!$A$5:$F$270,4,FALSE)</f>
        <v>#N/A</v>
      </c>
      <c r="G38" s="110"/>
      <c r="H38" s="111"/>
      <c r="I38" s="107"/>
      <c r="J38" s="107"/>
      <c r="K38" s="49" t="e">
        <f t="shared" si="0"/>
        <v>#REF!</v>
      </c>
    </row>
    <row r="39" spans="1:11" x14ac:dyDescent="0.25">
      <c r="A39" s="102"/>
      <c r="B39" s="102"/>
      <c r="C39" s="67"/>
      <c r="D39" s="102"/>
      <c r="E39" s="115" t="e">
        <f>VLOOKUP($D39,[1]계정코드!$A$5:$F$270,2,FALSE)</f>
        <v>#N/A</v>
      </c>
      <c r="F39" s="107" t="e">
        <f>VLOOKUP($D39,[1]계정코드!$A$5:$F$270,4,FALSE)</f>
        <v>#N/A</v>
      </c>
      <c r="G39" s="110"/>
      <c r="H39" s="111"/>
      <c r="I39" s="107"/>
      <c r="J39" s="107"/>
      <c r="K39" s="49" t="e">
        <f t="shared" si="0"/>
        <v>#REF!</v>
      </c>
    </row>
    <row r="40" spans="1:11" x14ac:dyDescent="0.25">
      <c r="A40" s="102"/>
      <c r="B40" s="102"/>
      <c r="C40" s="67"/>
      <c r="D40" s="102"/>
      <c r="E40" s="115" t="e">
        <f>VLOOKUP($D40,[1]계정코드!$A$5:$F$270,2,FALSE)</f>
        <v>#N/A</v>
      </c>
      <c r="F40" s="107" t="e">
        <f>VLOOKUP($D40,[1]계정코드!$A$5:$F$270,4,FALSE)</f>
        <v>#N/A</v>
      </c>
      <c r="G40" s="110"/>
      <c r="H40" s="111"/>
      <c r="I40" s="107"/>
      <c r="J40" s="107"/>
      <c r="K40" s="49" t="e">
        <f t="shared" si="0"/>
        <v>#REF!</v>
      </c>
    </row>
    <row r="41" spans="1:11" x14ac:dyDescent="0.25">
      <c r="A41" s="102"/>
      <c r="B41" s="102"/>
      <c r="C41" s="67"/>
      <c r="D41" s="102"/>
      <c r="E41" s="115" t="e">
        <f>VLOOKUP($D41,[1]계정코드!$A$5:$F$270,2,FALSE)</f>
        <v>#N/A</v>
      </c>
      <c r="F41" s="107" t="e">
        <f>VLOOKUP($D41,[1]계정코드!$A$5:$F$270,4,FALSE)</f>
        <v>#N/A</v>
      </c>
      <c r="G41" s="110"/>
      <c r="H41" s="111"/>
      <c r="I41" s="107"/>
      <c r="J41" s="107"/>
      <c r="K41" s="49" t="e">
        <f t="shared" si="0"/>
        <v>#REF!</v>
      </c>
    </row>
    <row r="42" spans="1:11" x14ac:dyDescent="0.25">
      <c r="A42" s="102"/>
      <c r="B42" s="102"/>
      <c r="C42" s="67"/>
      <c r="D42" s="102"/>
      <c r="E42" s="115" t="e">
        <f>VLOOKUP($D42,[1]계정코드!$A$5:$F$270,2,FALSE)</f>
        <v>#N/A</v>
      </c>
      <c r="F42" s="107" t="e">
        <f>VLOOKUP($D42,[1]계정코드!$A$5:$F$270,4,FALSE)</f>
        <v>#N/A</v>
      </c>
      <c r="G42" s="110"/>
      <c r="H42" s="111"/>
      <c r="I42" s="107"/>
      <c r="J42" s="107"/>
      <c r="K42" s="49" t="e">
        <f t="shared" si="0"/>
        <v>#REF!</v>
      </c>
    </row>
    <row r="43" spans="1:11" x14ac:dyDescent="0.25">
      <c r="A43" s="102"/>
      <c r="B43" s="102"/>
      <c r="C43" s="67"/>
      <c r="D43" s="102"/>
      <c r="E43" s="115" t="e">
        <f>VLOOKUP($D43,[1]계정코드!$A$5:$F$270,2,FALSE)</f>
        <v>#N/A</v>
      </c>
      <c r="F43" s="107" t="e">
        <f>VLOOKUP($D43,[1]계정코드!$A$5:$F$270,4,FALSE)</f>
        <v>#N/A</v>
      </c>
      <c r="G43" s="110"/>
      <c r="H43" s="111"/>
      <c r="I43" s="107"/>
      <c r="J43" s="107"/>
      <c r="K43" s="49" t="e">
        <f t="shared" si="0"/>
        <v>#REF!</v>
      </c>
    </row>
    <row r="44" spans="1:11" x14ac:dyDescent="0.25">
      <c r="A44" s="102"/>
      <c r="B44" s="102"/>
      <c r="C44" s="67"/>
      <c r="D44" s="102"/>
      <c r="E44" s="115" t="e">
        <f>VLOOKUP($D44,[1]계정코드!$A$5:$F$270,2,FALSE)</f>
        <v>#N/A</v>
      </c>
      <c r="F44" s="107" t="e">
        <f>VLOOKUP($D44,[1]계정코드!$A$5:$F$270,4,FALSE)</f>
        <v>#N/A</v>
      </c>
      <c r="G44" s="110"/>
      <c r="H44" s="111"/>
      <c r="I44" s="107"/>
      <c r="J44" s="107"/>
      <c r="K44" s="49" t="e">
        <f t="shared" si="0"/>
        <v>#REF!</v>
      </c>
    </row>
  </sheetData>
  <autoFilter ref="A3:K3"/>
  <mergeCells count="1">
    <mergeCell ref="A4:F4"/>
  </mergeCells>
  <phoneticPr fontId="19" type="noConversion"/>
  <pageMargins left="0.23597222566604614" right="0.23597222566604614" top="0.74750000238418579" bottom="0.74750000238418579" header="0.31486111879348755" footer="0.31486111879348755"/>
  <pageSetup paperSize="9" scale="64" fitToHeight="0" orientation="portrait" horizontalDpi="4294967293" r:id="rId1"/>
  <headerFooter alignWithMargins="0">
    <oddFooter>&amp;C&amp;"맑은 고딕,Regular"&amp;P  of 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indexed="10"/>
    <pageSetUpPr fitToPage="1"/>
  </sheetPr>
  <dimension ref="A1:K14"/>
  <sheetViews>
    <sheetView showGridLines="0" zoomScaleNormal="100" zoomScaleSheetLayoutView="75" workbookViewId="0">
      <pane xSplit="3" ySplit="3" topLeftCell="D4" activePane="bottomRight" state="frozen"/>
      <selection activeCell="J100" sqref="J100"/>
      <selection pane="topRight"/>
      <selection pane="bottomLeft"/>
      <selection pane="bottomRight" activeCell="H20" sqref="H20"/>
    </sheetView>
  </sheetViews>
  <sheetFormatPr defaultColWidth="8.8984375" defaultRowHeight="17.399999999999999" x14ac:dyDescent="0.25"/>
  <cols>
    <col min="1" max="2" width="5.09765625" style="84" customWidth="1"/>
    <col min="3" max="3" width="14.19921875" style="84" bestFit="1" customWidth="1"/>
    <col min="4" max="4" width="7.09765625" style="84" bestFit="1" customWidth="1"/>
    <col min="5" max="5" width="13" style="84" customWidth="1"/>
    <col min="6" max="6" width="25" style="81" customWidth="1"/>
    <col min="7" max="7" width="10.3984375" style="82" customWidth="1"/>
    <col min="8" max="8" width="12.19921875" style="83" customWidth="1"/>
    <col min="9" max="9" width="10.19921875" style="81" customWidth="1"/>
    <col min="10" max="10" width="22.09765625" style="84" customWidth="1"/>
    <col min="11" max="11" width="9.296875" style="85" bestFit="1" customWidth="1"/>
    <col min="12" max="14" width="13" style="84" customWidth="1"/>
    <col min="15" max="16384" width="8.8984375" style="84"/>
  </cols>
  <sheetData>
    <row r="1" spans="1:11" ht="25.2" x14ac:dyDescent="0.25">
      <c r="A1" s="80" t="s">
        <v>398</v>
      </c>
      <c r="B1" s="80"/>
      <c r="C1" s="80"/>
      <c r="D1" s="80"/>
      <c r="E1" s="81"/>
    </row>
    <row r="2" spans="1:11" x14ac:dyDescent="0.25">
      <c r="I2" s="86"/>
      <c r="J2" s="87" t="s">
        <v>286</v>
      </c>
    </row>
    <row r="3" spans="1:11" s="93" customFormat="1" ht="37.5" customHeight="1" x14ac:dyDescent="0.25">
      <c r="A3" s="88" t="s">
        <v>277</v>
      </c>
      <c r="B3" s="88" t="s">
        <v>278</v>
      </c>
      <c r="C3" s="89" t="s">
        <v>204</v>
      </c>
      <c r="D3" s="88" t="s">
        <v>324</v>
      </c>
      <c r="E3" s="88" t="s">
        <v>352</v>
      </c>
      <c r="F3" s="88" t="s">
        <v>272</v>
      </c>
      <c r="G3" s="90" t="s">
        <v>282</v>
      </c>
      <c r="H3" s="91" t="s">
        <v>291</v>
      </c>
      <c r="I3" s="88" t="s">
        <v>274</v>
      </c>
      <c r="J3" s="88" t="s">
        <v>275</v>
      </c>
      <c r="K3" s="92" t="s">
        <v>288</v>
      </c>
    </row>
    <row r="4" spans="1:11" ht="18" thickBot="1" x14ac:dyDescent="0.3">
      <c r="A4" s="102" t="s">
        <v>372</v>
      </c>
      <c r="B4" s="102" t="s">
        <v>365</v>
      </c>
      <c r="C4" s="67"/>
      <c r="D4" s="102"/>
      <c r="E4" s="115" t="e">
        <f>VLOOKUP($D4,[1]계정코드!$A$5:$F$270,2,FALSE)</f>
        <v>#N/A</v>
      </c>
      <c r="F4" s="107" t="e">
        <f>VLOOKUP($D4,[1]계정코드!$A$5:$F$270,4,FALSE)</f>
        <v>#N/A</v>
      </c>
      <c r="G4" s="110"/>
      <c r="H4" s="111"/>
      <c r="I4" s="107"/>
      <c r="J4" s="107"/>
      <c r="K4" s="85" t="e">
        <f>#REF!+G4-H4</f>
        <v>#REF!</v>
      </c>
    </row>
    <row r="5" spans="1:11" ht="20.399999999999999" thickTop="1" thickBot="1" x14ac:dyDescent="0.3">
      <c r="A5" s="135" t="s">
        <v>406</v>
      </c>
      <c r="B5" s="136"/>
      <c r="C5" s="136"/>
      <c r="D5" s="136"/>
      <c r="E5" s="136"/>
      <c r="F5" s="137"/>
      <c r="G5" s="98">
        <f>SUM(G4)</f>
        <v>0</v>
      </c>
      <c r="H5" s="98">
        <f>SUM(H4)</f>
        <v>0</v>
      </c>
      <c r="I5" s="127" t="s">
        <v>30</v>
      </c>
      <c r="J5" s="77" t="e">
        <f>K4</f>
        <v>#REF!</v>
      </c>
    </row>
    <row r="6" spans="1:11" x14ac:dyDescent="0.25">
      <c r="A6" s="102"/>
      <c r="B6" s="102"/>
      <c r="C6" s="67"/>
      <c r="D6" s="102"/>
      <c r="E6" s="115" t="e">
        <f>VLOOKUP($D6,[1]계정코드!$A$5:$F$270,2,FALSE)</f>
        <v>#N/A</v>
      </c>
      <c r="F6" s="107" t="e">
        <f>VLOOKUP($D6,[1]계정코드!$A$5:$F$270,4,FALSE)</f>
        <v>#N/A</v>
      </c>
      <c r="G6" s="110"/>
      <c r="H6" s="111"/>
      <c r="I6" s="107"/>
      <c r="J6" s="107"/>
      <c r="K6" s="85" t="e">
        <f>K4+G6-H6</f>
        <v>#REF!</v>
      </c>
    </row>
    <row r="7" spans="1:11" x14ac:dyDescent="0.25">
      <c r="A7" s="102"/>
      <c r="B7" s="102"/>
      <c r="C7" s="67"/>
      <c r="D7" s="102"/>
      <c r="E7" s="115" t="e">
        <f>VLOOKUP($D7,[1]계정코드!$A$5:$F$270,2,FALSE)</f>
        <v>#N/A</v>
      </c>
      <c r="F7" s="107" t="e">
        <f>VLOOKUP($D7,[1]계정코드!$A$5:$F$270,4,FALSE)</f>
        <v>#N/A</v>
      </c>
      <c r="G7" s="110"/>
      <c r="H7" s="111"/>
      <c r="I7" s="107"/>
      <c r="J7" s="107"/>
      <c r="K7" s="85" t="e">
        <f t="shared" ref="K7:K14" si="0">K6+G7-H7</f>
        <v>#REF!</v>
      </c>
    </row>
    <row r="8" spans="1:11" x14ac:dyDescent="0.25">
      <c r="A8" s="102"/>
      <c r="B8" s="102"/>
      <c r="C8" s="67"/>
      <c r="D8" s="102"/>
      <c r="E8" s="115" t="e">
        <f>VLOOKUP($D8,[1]계정코드!$A$5:$F$270,2,FALSE)</f>
        <v>#N/A</v>
      </c>
      <c r="F8" s="107" t="e">
        <f>VLOOKUP($D8,[1]계정코드!$A$5:$F$270,4,FALSE)</f>
        <v>#N/A</v>
      </c>
      <c r="G8" s="110"/>
      <c r="H8" s="111"/>
      <c r="I8" s="107"/>
      <c r="J8" s="107"/>
      <c r="K8" s="85" t="e">
        <f t="shared" si="0"/>
        <v>#REF!</v>
      </c>
    </row>
    <row r="9" spans="1:11" x14ac:dyDescent="0.25">
      <c r="A9" s="102"/>
      <c r="B9" s="102"/>
      <c r="C9" s="67"/>
      <c r="D9" s="102"/>
      <c r="E9" s="115" t="e">
        <f>VLOOKUP($D9,[1]계정코드!$A$5:$F$270,2,FALSE)</f>
        <v>#N/A</v>
      </c>
      <c r="F9" s="107" t="e">
        <f>VLOOKUP($D9,[1]계정코드!$A$5:$F$270,4,FALSE)</f>
        <v>#N/A</v>
      </c>
      <c r="G9" s="110"/>
      <c r="H9" s="111"/>
      <c r="I9" s="107"/>
      <c r="J9" s="107"/>
      <c r="K9" s="85" t="e">
        <f t="shared" si="0"/>
        <v>#REF!</v>
      </c>
    </row>
    <row r="10" spans="1:11" x14ac:dyDescent="0.25">
      <c r="A10" s="102"/>
      <c r="B10" s="102"/>
      <c r="C10" s="67"/>
      <c r="D10" s="102"/>
      <c r="E10" s="115" t="e">
        <f>VLOOKUP($D10,[1]계정코드!$A$5:$F$270,2,FALSE)</f>
        <v>#N/A</v>
      </c>
      <c r="F10" s="107" t="e">
        <f>VLOOKUP($D10,[1]계정코드!$A$5:$F$270,4,FALSE)</f>
        <v>#N/A</v>
      </c>
      <c r="G10" s="110"/>
      <c r="H10" s="111"/>
      <c r="I10" s="107"/>
      <c r="J10" s="107"/>
      <c r="K10" s="85" t="e">
        <f t="shared" si="0"/>
        <v>#REF!</v>
      </c>
    </row>
    <row r="11" spans="1:11" x14ac:dyDescent="0.25">
      <c r="A11" s="102"/>
      <c r="B11" s="102"/>
      <c r="C11" s="67"/>
      <c r="D11" s="102"/>
      <c r="E11" s="115" t="e">
        <f>VLOOKUP($D11,[1]계정코드!$A$5:$F$270,2,FALSE)</f>
        <v>#N/A</v>
      </c>
      <c r="F11" s="107" t="e">
        <f>VLOOKUP($D11,[1]계정코드!$A$5:$F$270,4,FALSE)</f>
        <v>#N/A</v>
      </c>
      <c r="G11" s="110"/>
      <c r="H11" s="111"/>
      <c r="I11" s="107"/>
      <c r="J11" s="107"/>
      <c r="K11" s="85" t="e">
        <f t="shared" si="0"/>
        <v>#REF!</v>
      </c>
    </row>
    <row r="12" spans="1:11" x14ac:dyDescent="0.25">
      <c r="A12" s="102"/>
      <c r="B12" s="102"/>
      <c r="C12" s="67"/>
      <c r="D12" s="102"/>
      <c r="E12" s="115" t="e">
        <f>VLOOKUP($D12,[1]계정코드!$A$5:$F$270,2,FALSE)</f>
        <v>#N/A</v>
      </c>
      <c r="F12" s="107" t="e">
        <f>VLOOKUP($D12,[1]계정코드!$A$5:$F$270,4,FALSE)</f>
        <v>#N/A</v>
      </c>
      <c r="G12" s="110"/>
      <c r="H12" s="111"/>
      <c r="I12" s="107"/>
      <c r="J12" s="107"/>
      <c r="K12" s="85" t="e">
        <f t="shared" si="0"/>
        <v>#REF!</v>
      </c>
    </row>
    <row r="13" spans="1:11" x14ac:dyDescent="0.25">
      <c r="A13" s="102"/>
      <c r="B13" s="102"/>
      <c r="C13" s="67"/>
      <c r="D13" s="102"/>
      <c r="E13" s="115" t="e">
        <f>VLOOKUP($D13,[1]계정코드!$A$5:$F$270,2,FALSE)</f>
        <v>#N/A</v>
      </c>
      <c r="F13" s="107" t="e">
        <f>VLOOKUP($D13,[1]계정코드!$A$5:$F$270,4,FALSE)</f>
        <v>#N/A</v>
      </c>
      <c r="G13" s="110"/>
      <c r="H13" s="111"/>
      <c r="I13" s="107"/>
      <c r="J13" s="107"/>
      <c r="K13" s="85" t="e">
        <f t="shared" si="0"/>
        <v>#REF!</v>
      </c>
    </row>
    <row r="14" spans="1:11" x14ac:dyDescent="0.25">
      <c r="A14" s="102"/>
      <c r="B14" s="102"/>
      <c r="C14" s="67"/>
      <c r="D14" s="102"/>
      <c r="E14" s="115" t="e">
        <f>VLOOKUP($D14,[1]계정코드!$A$5:$F$270,2,FALSE)</f>
        <v>#N/A</v>
      </c>
      <c r="F14" s="107" t="e">
        <f>VLOOKUP($D14,[1]계정코드!$A$5:$F$270,4,FALSE)</f>
        <v>#N/A</v>
      </c>
      <c r="G14" s="110"/>
      <c r="H14" s="111"/>
      <c r="I14" s="107"/>
      <c r="J14" s="107"/>
      <c r="K14" s="85" t="e">
        <f t="shared" si="0"/>
        <v>#REF!</v>
      </c>
    </row>
  </sheetData>
  <autoFilter ref="A3:K3"/>
  <mergeCells count="1">
    <mergeCell ref="A5:F5"/>
  </mergeCells>
  <phoneticPr fontId="19" type="noConversion"/>
  <pageMargins left="0.25" right="0.25" top="0.75" bottom="0.75" header="0.30000001192092896" footer="0.30000001192092896"/>
  <pageSetup paperSize="9" scale="64" fitToHeight="0" orientation="portrait" horizontalDpi="4294967293" r:id="rId1"/>
  <headerFooter alignWithMargins="0">
    <oddFooter>&amp;C&amp;"맑은 고딕,Regular"&amp;P  of 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indexed="56"/>
  </sheetPr>
  <dimension ref="A1:I259"/>
  <sheetViews>
    <sheetView showGridLines="0" topLeftCell="A136" zoomScaleNormal="100" zoomScaleSheetLayoutView="75" workbookViewId="0">
      <selection activeCell="G241" sqref="G241"/>
    </sheetView>
  </sheetViews>
  <sheetFormatPr defaultRowHeight="14.4" x14ac:dyDescent="0.25"/>
  <cols>
    <col min="1" max="1" width="7.19921875" customWidth="1"/>
    <col min="2" max="2" width="13.19921875" bestFit="1" customWidth="1"/>
    <col min="3" max="3" width="13.796875" bestFit="1" customWidth="1"/>
    <col min="4" max="4" width="26" customWidth="1"/>
    <col min="5" max="5" width="7.09765625" style="39" bestFit="1" customWidth="1"/>
    <col min="6" max="6" width="7.8984375" style="39" customWidth="1"/>
    <col min="8" max="8" width="11.796875" customWidth="1"/>
  </cols>
  <sheetData>
    <row r="1" spans="1:6" ht="21" x14ac:dyDescent="0.25">
      <c r="A1" s="12" t="s">
        <v>220</v>
      </c>
      <c r="B1" s="12"/>
      <c r="C1" s="3"/>
      <c r="D1" s="13"/>
      <c r="E1" s="3"/>
      <c r="F1" s="3"/>
    </row>
    <row r="2" spans="1:6" ht="5.25" customHeight="1" x14ac:dyDescent="0.25">
      <c r="A2" s="1"/>
      <c r="B2" s="1"/>
      <c r="C2" s="14"/>
      <c r="D2" s="15"/>
      <c r="E2" s="16"/>
      <c r="F2" s="3"/>
    </row>
    <row r="3" spans="1:6" ht="19.2" x14ac:dyDescent="0.25">
      <c r="A3" s="17" t="s">
        <v>115</v>
      </c>
      <c r="B3" s="17"/>
      <c r="C3" s="3"/>
      <c r="D3" s="13"/>
      <c r="E3" s="3"/>
      <c r="F3" s="4" t="s">
        <v>20</v>
      </c>
    </row>
    <row r="4" spans="1:6" ht="18" customHeight="1" x14ac:dyDescent="0.25">
      <c r="A4" s="18" t="s">
        <v>324</v>
      </c>
      <c r="B4" s="19" t="s">
        <v>325</v>
      </c>
      <c r="C4" s="19" t="s">
        <v>345</v>
      </c>
      <c r="D4" s="20" t="s">
        <v>232</v>
      </c>
      <c r="E4" s="19" t="s">
        <v>337</v>
      </c>
      <c r="F4" s="21" t="s">
        <v>331</v>
      </c>
    </row>
    <row r="5" spans="1:6" ht="18" customHeight="1" x14ac:dyDescent="0.25">
      <c r="A5" s="22">
        <v>11000</v>
      </c>
      <c r="B5" s="23" t="s">
        <v>55</v>
      </c>
      <c r="C5" s="23" t="s">
        <v>55</v>
      </c>
      <c r="D5" s="24"/>
      <c r="E5" s="25" t="s">
        <v>243</v>
      </c>
      <c r="F5" s="26" t="s">
        <v>244</v>
      </c>
    </row>
    <row r="6" spans="1:6" ht="18" customHeight="1" x14ac:dyDescent="0.25">
      <c r="A6" s="27">
        <v>11010</v>
      </c>
      <c r="B6" s="28" t="s">
        <v>36</v>
      </c>
      <c r="C6" s="28" t="s">
        <v>308</v>
      </c>
      <c r="D6" s="29" t="s">
        <v>15</v>
      </c>
      <c r="E6" s="30" t="s">
        <v>243</v>
      </c>
      <c r="F6" s="31" t="s">
        <v>244</v>
      </c>
    </row>
    <row r="7" spans="1:6" ht="18" customHeight="1" x14ac:dyDescent="0.25">
      <c r="A7" s="27">
        <v>11100</v>
      </c>
      <c r="B7" s="28" t="s">
        <v>45</v>
      </c>
      <c r="C7" s="28" t="s">
        <v>45</v>
      </c>
      <c r="D7" s="29"/>
      <c r="E7" s="30" t="s">
        <v>243</v>
      </c>
      <c r="F7" s="31" t="s">
        <v>244</v>
      </c>
    </row>
    <row r="8" spans="1:6" ht="18" customHeight="1" x14ac:dyDescent="0.25">
      <c r="A8" s="27">
        <v>11200</v>
      </c>
      <c r="B8" s="28" t="s">
        <v>47</v>
      </c>
      <c r="C8" s="28" t="s">
        <v>47</v>
      </c>
      <c r="D8" s="29"/>
      <c r="E8" s="30" t="s">
        <v>243</v>
      </c>
      <c r="F8" s="31" t="s">
        <v>244</v>
      </c>
    </row>
    <row r="9" spans="1:6" ht="18" customHeight="1" x14ac:dyDescent="0.25">
      <c r="A9" s="27">
        <v>11300</v>
      </c>
      <c r="B9" s="28" t="s">
        <v>62</v>
      </c>
      <c r="C9" s="28" t="s">
        <v>62</v>
      </c>
      <c r="D9" s="29"/>
      <c r="E9" s="30" t="s">
        <v>315</v>
      </c>
      <c r="F9" s="31" t="s">
        <v>245</v>
      </c>
    </row>
    <row r="10" spans="1:6" ht="18" customHeight="1" x14ac:dyDescent="0.25">
      <c r="A10" s="27">
        <v>11310</v>
      </c>
      <c r="B10" s="28" t="s">
        <v>370</v>
      </c>
      <c r="C10" s="28" t="s">
        <v>370</v>
      </c>
      <c r="D10" s="29"/>
      <c r="E10" s="30" t="s">
        <v>371</v>
      </c>
      <c r="F10" s="31" t="s">
        <v>363</v>
      </c>
    </row>
    <row r="11" spans="1:6" ht="18" customHeight="1" x14ac:dyDescent="0.25">
      <c r="A11" s="27">
        <v>11400</v>
      </c>
      <c r="B11" s="28" t="s">
        <v>44</v>
      </c>
      <c r="C11" s="28" t="s">
        <v>44</v>
      </c>
      <c r="D11" s="29"/>
      <c r="E11" s="30" t="s">
        <v>243</v>
      </c>
      <c r="F11" s="31" t="s">
        <v>244</v>
      </c>
    </row>
    <row r="12" spans="1:6" ht="18" customHeight="1" x14ac:dyDescent="0.25">
      <c r="A12" s="27">
        <v>11500</v>
      </c>
      <c r="B12" s="28" t="s">
        <v>105</v>
      </c>
      <c r="C12" s="28" t="s">
        <v>300</v>
      </c>
      <c r="D12" s="29"/>
      <c r="E12" s="30" t="s">
        <v>243</v>
      </c>
      <c r="F12" s="31" t="s">
        <v>244</v>
      </c>
    </row>
    <row r="13" spans="1:6" ht="18" customHeight="1" x14ac:dyDescent="0.25">
      <c r="A13" s="27">
        <v>11510</v>
      </c>
      <c r="B13" s="28" t="s">
        <v>105</v>
      </c>
      <c r="C13" s="28" t="s">
        <v>300</v>
      </c>
      <c r="D13" s="29" t="s">
        <v>246</v>
      </c>
      <c r="E13" s="30" t="s">
        <v>243</v>
      </c>
      <c r="F13" s="31" t="s">
        <v>244</v>
      </c>
    </row>
    <row r="14" spans="1:6" ht="18" customHeight="1" x14ac:dyDescent="0.25">
      <c r="A14" s="27">
        <v>11520</v>
      </c>
      <c r="B14" s="28" t="s">
        <v>105</v>
      </c>
      <c r="C14" s="28" t="s">
        <v>300</v>
      </c>
      <c r="D14" s="29" t="s">
        <v>307</v>
      </c>
      <c r="E14" s="30" t="s">
        <v>243</v>
      </c>
      <c r="F14" s="31" t="s">
        <v>244</v>
      </c>
    </row>
    <row r="15" spans="1:6" ht="18" customHeight="1" x14ac:dyDescent="0.25">
      <c r="A15" s="27">
        <v>11530</v>
      </c>
      <c r="B15" s="28" t="s">
        <v>105</v>
      </c>
      <c r="C15" s="28" t="s">
        <v>300</v>
      </c>
      <c r="D15" s="29" t="s">
        <v>247</v>
      </c>
      <c r="E15" s="30" t="s">
        <v>243</v>
      </c>
      <c r="F15" s="31" t="s">
        <v>244</v>
      </c>
    </row>
    <row r="16" spans="1:6" ht="18" customHeight="1" x14ac:dyDescent="0.25">
      <c r="A16" s="27">
        <v>11540</v>
      </c>
      <c r="B16" s="28" t="s">
        <v>105</v>
      </c>
      <c r="C16" s="28" t="s">
        <v>300</v>
      </c>
      <c r="D16" s="29" t="s">
        <v>253</v>
      </c>
      <c r="E16" s="30" t="s">
        <v>243</v>
      </c>
      <c r="F16" s="31" t="s">
        <v>244</v>
      </c>
    </row>
    <row r="17" spans="1:8" ht="18" customHeight="1" x14ac:dyDescent="0.25">
      <c r="A17" s="27">
        <v>11550</v>
      </c>
      <c r="B17" s="28" t="s">
        <v>105</v>
      </c>
      <c r="C17" s="28" t="s">
        <v>300</v>
      </c>
      <c r="D17" s="29" t="s">
        <v>302</v>
      </c>
      <c r="E17" s="30" t="s">
        <v>243</v>
      </c>
      <c r="F17" s="31" t="s">
        <v>244</v>
      </c>
    </row>
    <row r="18" spans="1:8" ht="18" customHeight="1" x14ac:dyDescent="0.25">
      <c r="A18" s="27">
        <v>11560</v>
      </c>
      <c r="B18" s="28" t="s">
        <v>105</v>
      </c>
      <c r="C18" s="28" t="s">
        <v>300</v>
      </c>
      <c r="D18" s="29" t="s">
        <v>309</v>
      </c>
      <c r="E18" s="30" t="s">
        <v>243</v>
      </c>
      <c r="F18" s="31" t="s">
        <v>244</v>
      </c>
    </row>
    <row r="19" spans="1:8" ht="18" customHeight="1" x14ac:dyDescent="0.25">
      <c r="A19" s="27">
        <v>11600</v>
      </c>
      <c r="B19" s="28" t="s">
        <v>304</v>
      </c>
      <c r="C19" s="28" t="s">
        <v>304</v>
      </c>
      <c r="D19" s="29"/>
      <c r="E19" s="30" t="s">
        <v>243</v>
      </c>
      <c r="F19" s="31" t="s">
        <v>244</v>
      </c>
    </row>
    <row r="20" spans="1:8" ht="18" customHeight="1" x14ac:dyDescent="0.25">
      <c r="A20" s="27">
        <v>11610</v>
      </c>
      <c r="B20" s="28" t="s">
        <v>304</v>
      </c>
      <c r="C20" s="28" t="s">
        <v>304</v>
      </c>
      <c r="D20" s="29" t="s">
        <v>310</v>
      </c>
      <c r="E20" s="30" t="s">
        <v>243</v>
      </c>
      <c r="F20" s="31" t="s">
        <v>244</v>
      </c>
    </row>
    <row r="21" spans="1:8" ht="18" customHeight="1" x14ac:dyDescent="0.25">
      <c r="A21" s="27">
        <v>11620</v>
      </c>
      <c r="B21" s="28" t="s">
        <v>304</v>
      </c>
      <c r="C21" s="28" t="s">
        <v>304</v>
      </c>
      <c r="D21" s="29" t="s">
        <v>16</v>
      </c>
      <c r="E21" s="30" t="s">
        <v>243</v>
      </c>
      <c r="F21" s="31" t="s">
        <v>244</v>
      </c>
    </row>
    <row r="22" spans="1:8" ht="18" customHeight="1" x14ac:dyDescent="0.25">
      <c r="A22" s="27">
        <v>11999</v>
      </c>
      <c r="B22" s="28" t="s">
        <v>105</v>
      </c>
      <c r="C22" s="28" t="s">
        <v>105</v>
      </c>
      <c r="D22" s="29"/>
      <c r="E22" s="30" t="s">
        <v>243</v>
      </c>
      <c r="F22" s="31" t="s">
        <v>244</v>
      </c>
    </row>
    <row r="23" spans="1:8" ht="18" customHeight="1" x14ac:dyDescent="0.25">
      <c r="A23" s="27">
        <v>12000</v>
      </c>
      <c r="B23" s="28" t="s">
        <v>67</v>
      </c>
      <c r="C23" s="28" t="s">
        <v>67</v>
      </c>
      <c r="D23" s="29"/>
      <c r="E23" s="30" t="s">
        <v>315</v>
      </c>
      <c r="F23" s="31" t="s">
        <v>251</v>
      </c>
    </row>
    <row r="24" spans="1:8" ht="18" customHeight="1" x14ac:dyDescent="0.25">
      <c r="A24" s="27">
        <v>12100</v>
      </c>
      <c r="B24" s="28" t="s">
        <v>369</v>
      </c>
      <c r="C24" s="28" t="s">
        <v>369</v>
      </c>
      <c r="D24" s="29" t="s">
        <v>210</v>
      </c>
      <c r="E24" s="30" t="s">
        <v>315</v>
      </c>
      <c r="F24" s="31" t="s">
        <v>251</v>
      </c>
    </row>
    <row r="25" spans="1:8" ht="18" customHeight="1" x14ac:dyDescent="0.25">
      <c r="A25" s="27">
        <v>12200</v>
      </c>
      <c r="B25" s="28" t="s">
        <v>41</v>
      </c>
      <c r="C25" s="28" t="s">
        <v>41</v>
      </c>
      <c r="D25" s="29" t="s">
        <v>68</v>
      </c>
      <c r="E25" s="30" t="s">
        <v>315</v>
      </c>
      <c r="F25" s="31" t="s">
        <v>251</v>
      </c>
    </row>
    <row r="26" spans="1:8" ht="18" customHeight="1" x14ac:dyDescent="0.25">
      <c r="A26" s="27">
        <v>13000</v>
      </c>
      <c r="B26" s="28" t="s">
        <v>123</v>
      </c>
      <c r="C26" s="28" t="s">
        <v>123</v>
      </c>
      <c r="D26" s="29"/>
      <c r="E26" s="30" t="s">
        <v>315</v>
      </c>
      <c r="F26" s="31" t="s">
        <v>250</v>
      </c>
    </row>
    <row r="27" spans="1:8" ht="18" customHeight="1" x14ac:dyDescent="0.25">
      <c r="A27" s="27">
        <v>13010</v>
      </c>
      <c r="B27" s="28" t="s">
        <v>123</v>
      </c>
      <c r="C27" s="28" t="s">
        <v>123</v>
      </c>
      <c r="D27" s="29" t="s">
        <v>224</v>
      </c>
      <c r="E27" s="30" t="s">
        <v>315</v>
      </c>
      <c r="F27" s="31" t="s">
        <v>250</v>
      </c>
    </row>
    <row r="28" spans="1:8" ht="18" customHeight="1" x14ac:dyDescent="0.25">
      <c r="A28" s="27">
        <v>13020</v>
      </c>
      <c r="B28" s="28" t="s">
        <v>123</v>
      </c>
      <c r="C28" s="28" t="s">
        <v>123</v>
      </c>
      <c r="D28" s="29" t="s">
        <v>12</v>
      </c>
      <c r="E28" s="30" t="s">
        <v>252</v>
      </c>
      <c r="F28" s="31" t="s">
        <v>244</v>
      </c>
    </row>
    <row r="29" spans="1:8" ht="18" customHeight="1" x14ac:dyDescent="0.25">
      <c r="A29" s="27">
        <v>14000</v>
      </c>
      <c r="B29" s="28" t="s">
        <v>60</v>
      </c>
      <c r="C29" s="28" t="s">
        <v>60</v>
      </c>
      <c r="D29" s="29"/>
      <c r="E29" s="30" t="s">
        <v>315</v>
      </c>
      <c r="F29" s="31" t="s">
        <v>311</v>
      </c>
    </row>
    <row r="30" spans="1:8" ht="18" customHeight="1" x14ac:dyDescent="0.25">
      <c r="A30" s="27">
        <v>15000</v>
      </c>
      <c r="B30" s="28" t="s">
        <v>61</v>
      </c>
      <c r="C30" s="28" t="s">
        <v>61</v>
      </c>
      <c r="D30" s="29"/>
      <c r="E30" s="30" t="s">
        <v>315</v>
      </c>
      <c r="F30" s="31" t="s">
        <v>312</v>
      </c>
      <c r="H30" t="s">
        <v>284</v>
      </c>
    </row>
    <row r="31" spans="1:8" ht="18" customHeight="1" x14ac:dyDescent="0.25">
      <c r="A31" s="27">
        <v>15100</v>
      </c>
      <c r="B31" s="28" t="s">
        <v>61</v>
      </c>
      <c r="C31" s="28" t="s">
        <v>61</v>
      </c>
      <c r="D31" s="29" t="s">
        <v>195</v>
      </c>
      <c r="E31" s="30" t="s">
        <v>315</v>
      </c>
      <c r="F31" s="31" t="s">
        <v>312</v>
      </c>
      <c r="H31" t="s">
        <v>284</v>
      </c>
    </row>
    <row r="32" spans="1:8" ht="18" customHeight="1" x14ac:dyDescent="0.25">
      <c r="A32" s="27">
        <v>15200</v>
      </c>
      <c r="B32" s="28" t="s">
        <v>61</v>
      </c>
      <c r="C32" s="28" t="s">
        <v>61</v>
      </c>
      <c r="D32" s="29" t="s">
        <v>265</v>
      </c>
      <c r="E32" s="30" t="s">
        <v>315</v>
      </c>
      <c r="F32" s="31" t="s">
        <v>312</v>
      </c>
      <c r="H32" t="s">
        <v>284</v>
      </c>
    </row>
    <row r="33" spans="1:8" s="99" customFormat="1" ht="18" customHeight="1" x14ac:dyDescent="0.25">
      <c r="A33" s="27">
        <v>15800</v>
      </c>
      <c r="B33" s="28" t="s">
        <v>61</v>
      </c>
      <c r="C33" s="28" t="s">
        <v>61</v>
      </c>
      <c r="D33" s="29" t="s">
        <v>225</v>
      </c>
      <c r="E33" s="30" t="s">
        <v>315</v>
      </c>
      <c r="F33" s="31" t="s">
        <v>312</v>
      </c>
      <c r="H33" s="78" t="s">
        <v>295</v>
      </c>
    </row>
    <row r="34" spans="1:8" ht="18" customHeight="1" x14ac:dyDescent="0.25">
      <c r="A34" s="27">
        <v>15900</v>
      </c>
      <c r="B34" s="28" t="s">
        <v>61</v>
      </c>
      <c r="C34" s="28" t="s">
        <v>61</v>
      </c>
      <c r="D34" s="29" t="s">
        <v>34</v>
      </c>
      <c r="E34" s="30" t="s">
        <v>315</v>
      </c>
      <c r="F34" s="31" t="s">
        <v>312</v>
      </c>
      <c r="H34" t="s">
        <v>284</v>
      </c>
    </row>
    <row r="35" spans="1:8" ht="18" customHeight="1" x14ac:dyDescent="0.25">
      <c r="A35" s="27">
        <v>16100</v>
      </c>
      <c r="B35" s="28" t="s">
        <v>314</v>
      </c>
      <c r="C35" s="28" t="s">
        <v>301</v>
      </c>
      <c r="D35" s="29" t="s">
        <v>207</v>
      </c>
      <c r="E35" s="30" t="s">
        <v>315</v>
      </c>
      <c r="F35" s="31" t="s">
        <v>314</v>
      </c>
      <c r="H35" t="s">
        <v>284</v>
      </c>
    </row>
    <row r="36" spans="1:8" ht="18" customHeight="1" x14ac:dyDescent="0.25">
      <c r="A36" s="27">
        <v>23000</v>
      </c>
      <c r="B36" s="28" t="s">
        <v>40</v>
      </c>
      <c r="C36" s="28" t="s">
        <v>118</v>
      </c>
      <c r="D36" s="29"/>
      <c r="E36" s="30" t="s">
        <v>248</v>
      </c>
      <c r="F36" s="31" t="s">
        <v>245</v>
      </c>
    </row>
    <row r="37" spans="1:8" ht="18" customHeight="1" x14ac:dyDescent="0.25">
      <c r="A37" s="27">
        <v>23010</v>
      </c>
      <c r="B37" s="28" t="s">
        <v>40</v>
      </c>
      <c r="C37" s="28" t="s">
        <v>118</v>
      </c>
      <c r="D37" s="29" t="s">
        <v>316</v>
      </c>
      <c r="E37" s="30" t="s">
        <v>248</v>
      </c>
      <c r="F37" s="31" t="s">
        <v>245</v>
      </c>
    </row>
    <row r="38" spans="1:8" ht="18" customHeight="1" x14ac:dyDescent="0.25">
      <c r="A38" s="27">
        <v>23020</v>
      </c>
      <c r="B38" s="28" t="s">
        <v>40</v>
      </c>
      <c r="C38" s="28" t="s">
        <v>118</v>
      </c>
      <c r="D38" s="29" t="s">
        <v>226</v>
      </c>
      <c r="E38" s="30" t="s">
        <v>248</v>
      </c>
      <c r="F38" s="31" t="s">
        <v>244</v>
      </c>
    </row>
    <row r="39" spans="1:8" ht="18" customHeight="1" x14ac:dyDescent="0.25">
      <c r="A39" s="27">
        <v>23030</v>
      </c>
      <c r="B39" s="28" t="s">
        <v>40</v>
      </c>
      <c r="C39" s="28" t="s">
        <v>118</v>
      </c>
      <c r="D39" s="29" t="s">
        <v>215</v>
      </c>
      <c r="E39" s="30" t="s">
        <v>248</v>
      </c>
      <c r="F39" s="31" t="s">
        <v>245</v>
      </c>
    </row>
    <row r="40" spans="1:8" ht="18" customHeight="1" x14ac:dyDescent="0.25">
      <c r="A40" s="27">
        <v>23100</v>
      </c>
      <c r="B40" s="28" t="s">
        <v>40</v>
      </c>
      <c r="C40" s="28" t="s">
        <v>303</v>
      </c>
      <c r="D40" s="29"/>
      <c r="E40" s="30" t="s">
        <v>249</v>
      </c>
      <c r="F40" s="31" t="s">
        <v>244</v>
      </c>
    </row>
    <row r="41" spans="1:8" ht="18" customHeight="1" x14ac:dyDescent="0.25">
      <c r="A41" s="27">
        <v>23110</v>
      </c>
      <c r="B41" s="28" t="s">
        <v>40</v>
      </c>
      <c r="C41" s="28" t="s">
        <v>303</v>
      </c>
      <c r="D41" s="29" t="s">
        <v>18</v>
      </c>
      <c r="E41" s="30" t="s">
        <v>249</v>
      </c>
      <c r="F41" s="31" t="s">
        <v>244</v>
      </c>
    </row>
    <row r="42" spans="1:8" ht="18" customHeight="1" x14ac:dyDescent="0.25">
      <c r="A42" s="27">
        <v>23120</v>
      </c>
      <c r="B42" s="28" t="s">
        <v>40</v>
      </c>
      <c r="C42" s="28" t="s">
        <v>303</v>
      </c>
      <c r="D42" s="29" t="s">
        <v>22</v>
      </c>
      <c r="E42" s="30" t="s">
        <v>249</v>
      </c>
      <c r="F42" s="31" t="s">
        <v>244</v>
      </c>
    </row>
    <row r="43" spans="1:8" ht="18" customHeight="1" x14ac:dyDescent="0.25">
      <c r="A43" s="27">
        <v>23130</v>
      </c>
      <c r="B43" s="28" t="s">
        <v>40</v>
      </c>
      <c r="C43" s="28" t="s">
        <v>303</v>
      </c>
      <c r="D43" s="29" t="s">
        <v>23</v>
      </c>
      <c r="E43" s="30" t="s">
        <v>249</v>
      </c>
      <c r="F43" s="31" t="s">
        <v>245</v>
      </c>
    </row>
    <row r="44" spans="1:8" ht="18" customHeight="1" x14ac:dyDescent="0.25">
      <c r="A44" s="27">
        <v>23140</v>
      </c>
      <c r="B44" s="28" t="s">
        <v>40</v>
      </c>
      <c r="C44" s="28" t="s">
        <v>303</v>
      </c>
      <c r="D44" s="29" t="s">
        <v>267</v>
      </c>
      <c r="E44" s="30" t="s">
        <v>249</v>
      </c>
      <c r="F44" s="31" t="s">
        <v>311</v>
      </c>
    </row>
    <row r="45" spans="1:8" ht="18" customHeight="1" x14ac:dyDescent="0.25">
      <c r="A45" s="27">
        <v>23150</v>
      </c>
      <c r="B45" s="28" t="s">
        <v>40</v>
      </c>
      <c r="C45" s="28" t="s">
        <v>303</v>
      </c>
      <c r="D45" s="29" t="s">
        <v>17</v>
      </c>
      <c r="E45" s="30" t="s">
        <v>249</v>
      </c>
      <c r="F45" s="31" t="s">
        <v>244</v>
      </c>
    </row>
    <row r="46" spans="1:8" ht="18" customHeight="1" x14ac:dyDescent="0.25">
      <c r="A46" s="27">
        <v>23160</v>
      </c>
      <c r="B46" s="28" t="s">
        <v>40</v>
      </c>
      <c r="C46" s="28" t="s">
        <v>303</v>
      </c>
      <c r="D46" s="29" t="s">
        <v>270</v>
      </c>
      <c r="E46" s="30" t="s">
        <v>249</v>
      </c>
      <c r="F46" s="31" t="s">
        <v>311</v>
      </c>
    </row>
    <row r="47" spans="1:8" ht="18" customHeight="1" x14ac:dyDescent="0.25">
      <c r="A47" s="27">
        <v>23170</v>
      </c>
      <c r="B47" s="28" t="s">
        <v>40</v>
      </c>
      <c r="C47" s="28" t="s">
        <v>303</v>
      </c>
      <c r="D47" s="29" t="s">
        <v>268</v>
      </c>
      <c r="E47" s="30" t="s">
        <v>249</v>
      </c>
      <c r="F47" s="31" t="s">
        <v>244</v>
      </c>
    </row>
    <row r="48" spans="1:8" ht="18" customHeight="1" x14ac:dyDescent="0.25">
      <c r="A48" s="27">
        <v>23180</v>
      </c>
      <c r="B48" s="28" t="s">
        <v>40</v>
      </c>
      <c r="C48" s="28" t="s">
        <v>303</v>
      </c>
      <c r="D48" s="29" t="s">
        <v>269</v>
      </c>
      <c r="E48" s="30" t="s">
        <v>249</v>
      </c>
      <c r="F48" s="31" t="s">
        <v>245</v>
      </c>
    </row>
    <row r="49" spans="1:8" ht="18" customHeight="1" x14ac:dyDescent="0.25">
      <c r="A49" s="27">
        <v>23700</v>
      </c>
      <c r="B49" s="28" t="s">
        <v>40</v>
      </c>
      <c r="C49" s="28" t="s">
        <v>227</v>
      </c>
      <c r="D49" s="29" t="s">
        <v>228</v>
      </c>
      <c r="E49" s="30" t="s">
        <v>249</v>
      </c>
      <c r="F49" s="31" t="s">
        <v>244</v>
      </c>
    </row>
    <row r="50" spans="1:8" ht="18" customHeight="1" x14ac:dyDescent="0.25">
      <c r="A50" s="27">
        <v>24100</v>
      </c>
      <c r="B50" s="28" t="s">
        <v>40</v>
      </c>
      <c r="C50" s="28" t="s">
        <v>305</v>
      </c>
      <c r="D50" s="29"/>
      <c r="E50" s="30" t="s">
        <v>252</v>
      </c>
      <c r="F50" s="31" t="s">
        <v>244</v>
      </c>
    </row>
    <row r="51" spans="1:8" ht="18" customHeight="1" x14ac:dyDescent="0.25">
      <c r="A51" s="27">
        <v>24200</v>
      </c>
      <c r="B51" s="28" t="s">
        <v>40</v>
      </c>
      <c r="C51" s="28" t="s">
        <v>306</v>
      </c>
      <c r="D51" s="29"/>
      <c r="E51" s="30" t="s">
        <v>252</v>
      </c>
      <c r="F51" s="31" t="s">
        <v>244</v>
      </c>
    </row>
    <row r="52" spans="1:8" ht="18" customHeight="1" x14ac:dyDescent="0.25">
      <c r="A52" s="27">
        <v>24210</v>
      </c>
      <c r="B52" s="28" t="s">
        <v>40</v>
      </c>
      <c r="C52" s="28" t="s">
        <v>306</v>
      </c>
      <c r="D52" s="29" t="s">
        <v>317</v>
      </c>
      <c r="E52" s="30" t="s">
        <v>252</v>
      </c>
      <c r="F52" s="31" t="s">
        <v>244</v>
      </c>
    </row>
    <row r="53" spans="1:8" ht="18" customHeight="1" x14ac:dyDescent="0.25">
      <c r="A53" s="27">
        <v>24220</v>
      </c>
      <c r="B53" s="28" t="s">
        <v>40</v>
      </c>
      <c r="C53" s="28" t="s">
        <v>306</v>
      </c>
      <c r="D53" s="29" t="s">
        <v>296</v>
      </c>
      <c r="E53" s="30" t="s">
        <v>252</v>
      </c>
      <c r="F53" s="31" t="s">
        <v>244</v>
      </c>
    </row>
    <row r="54" spans="1:8" ht="18" customHeight="1" x14ac:dyDescent="0.25">
      <c r="A54" s="27">
        <v>24300</v>
      </c>
      <c r="B54" s="28" t="s">
        <v>40</v>
      </c>
      <c r="C54" s="28" t="s">
        <v>313</v>
      </c>
      <c r="D54" s="29"/>
      <c r="E54" s="30" t="s">
        <v>252</v>
      </c>
      <c r="F54" s="31" t="s">
        <v>244</v>
      </c>
    </row>
    <row r="55" spans="1:8" ht="18" customHeight="1" x14ac:dyDescent="0.25">
      <c r="A55" s="27">
        <v>24310</v>
      </c>
      <c r="B55" s="28" t="s">
        <v>40</v>
      </c>
      <c r="C55" s="28" t="s">
        <v>313</v>
      </c>
      <c r="D55" s="29" t="s">
        <v>298</v>
      </c>
      <c r="E55" s="30" t="s">
        <v>252</v>
      </c>
      <c r="F55" s="31" t="s">
        <v>244</v>
      </c>
    </row>
    <row r="56" spans="1:8" ht="18" customHeight="1" x14ac:dyDescent="0.25">
      <c r="A56" s="27">
        <v>24400</v>
      </c>
      <c r="B56" s="28" t="s">
        <v>40</v>
      </c>
      <c r="C56" s="28" t="s">
        <v>297</v>
      </c>
      <c r="D56" s="29"/>
      <c r="E56" s="30" t="s">
        <v>252</v>
      </c>
      <c r="F56" s="31" t="s">
        <v>244</v>
      </c>
    </row>
    <row r="57" spans="1:8" ht="18" customHeight="1" x14ac:dyDescent="0.25">
      <c r="A57" s="27">
        <v>24500</v>
      </c>
      <c r="B57" s="28" t="s">
        <v>40</v>
      </c>
      <c r="C57" s="28" t="s">
        <v>299</v>
      </c>
      <c r="D57" s="29" t="s">
        <v>330</v>
      </c>
      <c r="E57" s="30" t="s">
        <v>252</v>
      </c>
      <c r="F57" s="31" t="s">
        <v>244</v>
      </c>
    </row>
    <row r="58" spans="1:8" ht="18" customHeight="1" x14ac:dyDescent="0.25">
      <c r="A58" s="27">
        <v>24600</v>
      </c>
      <c r="B58" s="28" t="s">
        <v>40</v>
      </c>
      <c r="C58" s="28" t="s">
        <v>255</v>
      </c>
      <c r="D58" s="29"/>
      <c r="E58" s="30" t="s">
        <v>252</v>
      </c>
      <c r="F58" s="31" t="s">
        <v>244</v>
      </c>
    </row>
    <row r="59" spans="1:8" ht="18" customHeight="1" x14ac:dyDescent="0.25">
      <c r="A59" s="55">
        <v>24620</v>
      </c>
      <c r="B59" s="56" t="s">
        <v>40</v>
      </c>
      <c r="C59" s="56" t="s">
        <v>348</v>
      </c>
      <c r="D59" s="57" t="s">
        <v>348</v>
      </c>
      <c r="E59" s="58" t="s">
        <v>252</v>
      </c>
      <c r="F59" s="59" t="s">
        <v>244</v>
      </c>
      <c r="H59" t="s">
        <v>283</v>
      </c>
    </row>
    <row r="60" spans="1:8" ht="18" customHeight="1" x14ac:dyDescent="0.25">
      <c r="A60" s="27">
        <v>24700</v>
      </c>
      <c r="B60" s="28" t="s">
        <v>40</v>
      </c>
      <c r="C60" s="28" t="s">
        <v>320</v>
      </c>
      <c r="D60" s="29" t="s">
        <v>256</v>
      </c>
      <c r="E60" s="30" t="s">
        <v>252</v>
      </c>
      <c r="F60" s="31" t="s">
        <v>244</v>
      </c>
    </row>
    <row r="61" spans="1:8" ht="18" customHeight="1" x14ac:dyDescent="0.25">
      <c r="A61" s="27">
        <v>24710</v>
      </c>
      <c r="B61" s="28" t="s">
        <v>40</v>
      </c>
      <c r="C61" s="28" t="s">
        <v>320</v>
      </c>
      <c r="D61" s="29" t="s">
        <v>230</v>
      </c>
      <c r="E61" s="30" t="s">
        <v>252</v>
      </c>
      <c r="F61" s="31" t="s">
        <v>244</v>
      </c>
    </row>
    <row r="62" spans="1:8" ht="18" customHeight="1" x14ac:dyDescent="0.25">
      <c r="A62" s="27">
        <v>24720</v>
      </c>
      <c r="B62" s="28" t="s">
        <v>40</v>
      </c>
      <c r="C62" s="28" t="s">
        <v>320</v>
      </c>
      <c r="D62" s="29" t="s">
        <v>231</v>
      </c>
      <c r="E62" s="30" t="s">
        <v>252</v>
      </c>
      <c r="F62" s="31" t="s">
        <v>245</v>
      </c>
    </row>
    <row r="63" spans="1:8" ht="18" customHeight="1" x14ac:dyDescent="0.25">
      <c r="A63" s="27">
        <v>24730</v>
      </c>
      <c r="B63" s="28" t="s">
        <v>40</v>
      </c>
      <c r="C63" s="28" t="s">
        <v>320</v>
      </c>
      <c r="D63" s="29" t="s">
        <v>229</v>
      </c>
      <c r="E63" s="30" t="s">
        <v>252</v>
      </c>
      <c r="F63" s="31" t="s">
        <v>311</v>
      </c>
    </row>
    <row r="64" spans="1:8" ht="18" customHeight="1" x14ac:dyDescent="0.25">
      <c r="A64" s="27">
        <v>24800</v>
      </c>
      <c r="B64" s="28" t="s">
        <v>40</v>
      </c>
      <c r="C64" s="28" t="s">
        <v>333</v>
      </c>
      <c r="D64" s="29" t="s">
        <v>28</v>
      </c>
      <c r="E64" s="30" t="s">
        <v>249</v>
      </c>
      <c r="F64" s="31" t="s">
        <v>244</v>
      </c>
    </row>
    <row r="65" spans="1:8" ht="18" customHeight="1" x14ac:dyDescent="0.25">
      <c r="A65" s="27">
        <v>25000</v>
      </c>
      <c r="B65" s="28" t="s">
        <v>40</v>
      </c>
      <c r="C65" s="28" t="s">
        <v>327</v>
      </c>
      <c r="D65" s="29"/>
      <c r="E65" s="30" t="s">
        <v>252</v>
      </c>
      <c r="F65" s="31" t="s">
        <v>244</v>
      </c>
    </row>
    <row r="66" spans="1:8" ht="18" customHeight="1" x14ac:dyDescent="0.25">
      <c r="A66" s="27">
        <v>25010</v>
      </c>
      <c r="B66" s="28" t="s">
        <v>40</v>
      </c>
      <c r="C66" s="28" t="s">
        <v>327</v>
      </c>
      <c r="D66" s="29" t="s">
        <v>254</v>
      </c>
      <c r="E66" s="30" t="s">
        <v>252</v>
      </c>
      <c r="F66" s="31" t="s">
        <v>244</v>
      </c>
    </row>
    <row r="67" spans="1:8" ht="18" customHeight="1" x14ac:dyDescent="0.25">
      <c r="A67" s="27">
        <v>25020</v>
      </c>
      <c r="B67" s="28" t="s">
        <v>40</v>
      </c>
      <c r="C67" s="28" t="s">
        <v>327</v>
      </c>
      <c r="D67" s="29" t="s">
        <v>253</v>
      </c>
      <c r="E67" s="30" t="s">
        <v>252</v>
      </c>
      <c r="F67" s="31" t="s">
        <v>244</v>
      </c>
    </row>
    <row r="68" spans="1:8" ht="18" customHeight="1" x14ac:dyDescent="0.25">
      <c r="A68" s="32">
        <v>25030</v>
      </c>
      <c r="B68" s="33" t="s">
        <v>40</v>
      </c>
      <c r="C68" s="33" t="s">
        <v>327</v>
      </c>
      <c r="D68" s="34" t="s">
        <v>302</v>
      </c>
      <c r="E68" s="35" t="s">
        <v>252</v>
      </c>
      <c r="F68" s="36" t="s">
        <v>244</v>
      </c>
    </row>
    <row r="69" spans="1:8" ht="18" customHeight="1" x14ac:dyDescent="0.25">
      <c r="A69" s="32">
        <v>30000</v>
      </c>
      <c r="B69" s="33" t="s">
        <v>101</v>
      </c>
      <c r="C69" s="33" t="s">
        <v>339</v>
      </c>
      <c r="D69" s="34" t="s">
        <v>101</v>
      </c>
      <c r="E69" s="35" t="s">
        <v>252</v>
      </c>
      <c r="F69" s="36"/>
      <c r="H69" s="78" t="s">
        <v>295</v>
      </c>
    </row>
    <row r="70" spans="1:8" ht="18" customHeight="1" x14ac:dyDescent="0.25">
      <c r="A70" s="37" t="s">
        <v>318</v>
      </c>
      <c r="B70" s="38"/>
      <c r="C70" s="3"/>
      <c r="D70" s="13"/>
      <c r="E70" s="3"/>
      <c r="F70" s="4" t="str">
        <f>F3</f>
        <v>작성일 : 2020년 2월 5일</v>
      </c>
    </row>
    <row r="71" spans="1:8" ht="18" customHeight="1" x14ac:dyDescent="0.25">
      <c r="A71" s="18" t="s">
        <v>324</v>
      </c>
      <c r="B71" s="19" t="s">
        <v>325</v>
      </c>
      <c r="C71" s="19" t="s">
        <v>345</v>
      </c>
      <c r="D71" s="20" t="s">
        <v>232</v>
      </c>
      <c r="E71" s="19" t="s">
        <v>337</v>
      </c>
      <c r="F71" s="21" t="s">
        <v>331</v>
      </c>
    </row>
    <row r="72" spans="1:8" ht="18" customHeight="1" x14ac:dyDescent="0.25">
      <c r="A72" s="22">
        <v>31200</v>
      </c>
      <c r="B72" s="23" t="s">
        <v>29</v>
      </c>
      <c r="C72" s="23" t="s">
        <v>29</v>
      </c>
      <c r="D72" s="24" t="s">
        <v>29</v>
      </c>
      <c r="E72" s="25" t="s">
        <v>257</v>
      </c>
      <c r="F72" s="26" t="s">
        <v>244</v>
      </c>
    </row>
    <row r="73" spans="1:8" ht="18" customHeight="1" x14ac:dyDescent="0.25">
      <c r="A73" s="27">
        <v>31210</v>
      </c>
      <c r="B73" s="28" t="s">
        <v>29</v>
      </c>
      <c r="C73" s="28" t="s">
        <v>29</v>
      </c>
      <c r="D73" s="29" t="s">
        <v>88</v>
      </c>
      <c r="E73" s="30" t="s">
        <v>257</v>
      </c>
      <c r="F73" s="31" t="s">
        <v>244</v>
      </c>
    </row>
    <row r="74" spans="1:8" ht="18" customHeight="1" x14ac:dyDescent="0.25">
      <c r="A74" s="27">
        <v>31300</v>
      </c>
      <c r="B74" s="28" t="s">
        <v>67</v>
      </c>
      <c r="C74" s="28" t="s">
        <v>67</v>
      </c>
      <c r="D74" s="29" t="s">
        <v>67</v>
      </c>
      <c r="E74" s="30" t="s">
        <v>257</v>
      </c>
      <c r="F74" s="31" t="s">
        <v>244</v>
      </c>
    </row>
    <row r="75" spans="1:8" ht="18" customHeight="1" x14ac:dyDescent="0.25">
      <c r="A75" s="27">
        <v>31310</v>
      </c>
      <c r="B75" s="28" t="s">
        <v>57</v>
      </c>
      <c r="C75" s="28" t="s">
        <v>57</v>
      </c>
      <c r="D75" s="29" t="s">
        <v>57</v>
      </c>
      <c r="E75" s="30" t="s">
        <v>257</v>
      </c>
      <c r="F75" s="31" t="s">
        <v>244</v>
      </c>
    </row>
    <row r="76" spans="1:8" ht="18" customHeight="1" x14ac:dyDescent="0.25">
      <c r="A76" s="27">
        <v>31500</v>
      </c>
      <c r="B76" s="28" t="s">
        <v>63</v>
      </c>
      <c r="C76" s="28" t="s">
        <v>63</v>
      </c>
      <c r="D76" s="29" t="s">
        <v>136</v>
      </c>
      <c r="E76" s="30" t="s">
        <v>257</v>
      </c>
      <c r="F76" s="31" t="s">
        <v>244</v>
      </c>
    </row>
    <row r="77" spans="1:8" ht="18" customHeight="1" x14ac:dyDescent="0.25">
      <c r="A77" s="27">
        <v>31510</v>
      </c>
      <c r="B77" s="28" t="s">
        <v>63</v>
      </c>
      <c r="C77" s="28" t="s">
        <v>63</v>
      </c>
      <c r="D77" s="29" t="s">
        <v>158</v>
      </c>
      <c r="E77" s="30" t="s">
        <v>257</v>
      </c>
      <c r="F77" s="31" t="s">
        <v>244</v>
      </c>
    </row>
    <row r="78" spans="1:8" ht="18" customHeight="1" x14ac:dyDescent="0.25">
      <c r="A78" s="27">
        <v>31520</v>
      </c>
      <c r="B78" s="28" t="s">
        <v>63</v>
      </c>
      <c r="C78" s="28" t="s">
        <v>63</v>
      </c>
      <c r="D78" s="29" t="s">
        <v>119</v>
      </c>
      <c r="E78" s="30" t="s">
        <v>257</v>
      </c>
      <c r="F78" s="31" t="s">
        <v>244</v>
      </c>
    </row>
    <row r="79" spans="1:8" ht="18" customHeight="1" x14ac:dyDescent="0.25">
      <c r="A79" s="27">
        <v>31530</v>
      </c>
      <c r="B79" s="28" t="s">
        <v>63</v>
      </c>
      <c r="C79" s="28" t="s">
        <v>63</v>
      </c>
      <c r="D79" s="29" t="s">
        <v>122</v>
      </c>
      <c r="E79" s="30" t="s">
        <v>257</v>
      </c>
      <c r="F79" s="31" t="s">
        <v>244</v>
      </c>
    </row>
    <row r="80" spans="1:8" ht="18" customHeight="1" x14ac:dyDescent="0.25">
      <c r="A80" s="27">
        <v>31540</v>
      </c>
      <c r="B80" s="28" t="s">
        <v>63</v>
      </c>
      <c r="C80" s="28" t="s">
        <v>63</v>
      </c>
      <c r="D80" s="29" t="s">
        <v>233</v>
      </c>
      <c r="E80" s="30" t="s">
        <v>257</v>
      </c>
      <c r="F80" s="31" t="s">
        <v>244</v>
      </c>
    </row>
    <row r="81" spans="1:6" ht="18" customHeight="1" x14ac:dyDescent="0.25">
      <c r="A81" s="27">
        <v>31599</v>
      </c>
      <c r="B81" s="28" t="s">
        <v>63</v>
      </c>
      <c r="C81" s="28" t="s">
        <v>63</v>
      </c>
      <c r="D81" s="29" t="s">
        <v>137</v>
      </c>
      <c r="E81" s="30" t="s">
        <v>257</v>
      </c>
      <c r="F81" s="31" t="s">
        <v>244</v>
      </c>
    </row>
    <row r="82" spans="1:6" ht="18" customHeight="1" x14ac:dyDescent="0.25">
      <c r="A82" s="27">
        <v>31600</v>
      </c>
      <c r="B82" s="28" t="s">
        <v>63</v>
      </c>
      <c r="C82" s="28" t="s">
        <v>63</v>
      </c>
      <c r="D82" s="29" t="s">
        <v>79</v>
      </c>
      <c r="E82" s="30" t="s">
        <v>257</v>
      </c>
      <c r="F82" s="31" t="s">
        <v>244</v>
      </c>
    </row>
    <row r="83" spans="1:6" ht="18" customHeight="1" x14ac:dyDescent="0.25">
      <c r="A83" s="27">
        <v>31700</v>
      </c>
      <c r="B83" s="28" t="s">
        <v>63</v>
      </c>
      <c r="C83" s="28" t="s">
        <v>63</v>
      </c>
      <c r="D83" s="29" t="s">
        <v>173</v>
      </c>
      <c r="E83" s="30" t="s">
        <v>257</v>
      </c>
      <c r="F83" s="31" t="s">
        <v>244</v>
      </c>
    </row>
    <row r="84" spans="1:6" ht="18" customHeight="1" x14ac:dyDescent="0.25">
      <c r="A84" s="27">
        <v>31710</v>
      </c>
      <c r="B84" s="28" t="s">
        <v>63</v>
      </c>
      <c r="C84" s="28" t="s">
        <v>63</v>
      </c>
      <c r="D84" s="29" t="s">
        <v>151</v>
      </c>
      <c r="E84" s="30" t="s">
        <v>257</v>
      </c>
      <c r="F84" s="31" t="s">
        <v>244</v>
      </c>
    </row>
    <row r="85" spans="1:6" ht="18" customHeight="1" x14ac:dyDescent="0.25">
      <c r="A85" s="27">
        <v>31720</v>
      </c>
      <c r="B85" s="28" t="s">
        <v>63</v>
      </c>
      <c r="C85" s="28" t="s">
        <v>63</v>
      </c>
      <c r="D85" s="29" t="s">
        <v>193</v>
      </c>
      <c r="E85" s="30" t="s">
        <v>257</v>
      </c>
      <c r="F85" s="31" t="s">
        <v>244</v>
      </c>
    </row>
    <row r="86" spans="1:6" ht="18" customHeight="1" x14ac:dyDescent="0.25">
      <c r="A86" s="27">
        <v>31730</v>
      </c>
      <c r="B86" s="28" t="s">
        <v>63</v>
      </c>
      <c r="C86" s="28" t="s">
        <v>63</v>
      </c>
      <c r="D86" s="29" t="s">
        <v>197</v>
      </c>
      <c r="E86" s="30" t="s">
        <v>257</v>
      </c>
      <c r="F86" s="31" t="s">
        <v>244</v>
      </c>
    </row>
    <row r="87" spans="1:6" ht="18" customHeight="1" x14ac:dyDescent="0.25">
      <c r="A87" s="27">
        <v>31800</v>
      </c>
      <c r="B87" s="28" t="s">
        <v>63</v>
      </c>
      <c r="C87" s="28" t="s">
        <v>63</v>
      </c>
      <c r="D87" s="29" t="s">
        <v>234</v>
      </c>
      <c r="E87" s="30" t="s">
        <v>257</v>
      </c>
      <c r="F87" s="31" t="s">
        <v>244</v>
      </c>
    </row>
    <row r="88" spans="1:6" ht="18" customHeight="1" x14ac:dyDescent="0.25">
      <c r="A88" s="27">
        <v>31900</v>
      </c>
      <c r="B88" s="28" t="s">
        <v>32</v>
      </c>
      <c r="C88" s="28" t="s">
        <v>32</v>
      </c>
      <c r="D88" s="29"/>
      <c r="E88" s="30" t="s">
        <v>257</v>
      </c>
      <c r="F88" s="31" t="s">
        <v>244</v>
      </c>
    </row>
    <row r="89" spans="1:6" ht="18" customHeight="1" x14ac:dyDescent="0.25">
      <c r="A89" s="27">
        <v>31910</v>
      </c>
      <c r="B89" s="28" t="s">
        <v>32</v>
      </c>
      <c r="C89" s="28" t="s">
        <v>32</v>
      </c>
      <c r="D89" s="29" t="s">
        <v>92</v>
      </c>
      <c r="E89" s="30" t="s">
        <v>257</v>
      </c>
      <c r="F89" s="31" t="s">
        <v>244</v>
      </c>
    </row>
    <row r="90" spans="1:6" ht="18" customHeight="1" x14ac:dyDescent="0.25">
      <c r="A90" s="27">
        <v>31920</v>
      </c>
      <c r="B90" s="28" t="s">
        <v>32</v>
      </c>
      <c r="C90" s="28" t="s">
        <v>32</v>
      </c>
      <c r="D90" s="29" t="s">
        <v>73</v>
      </c>
      <c r="E90" s="30" t="s">
        <v>257</v>
      </c>
      <c r="F90" s="31" t="s">
        <v>244</v>
      </c>
    </row>
    <row r="91" spans="1:6" ht="18" customHeight="1" x14ac:dyDescent="0.25">
      <c r="A91" s="27">
        <v>31930</v>
      </c>
      <c r="B91" s="28" t="s">
        <v>32</v>
      </c>
      <c r="C91" s="28" t="s">
        <v>32</v>
      </c>
      <c r="D91" s="29" t="s">
        <v>72</v>
      </c>
      <c r="E91" s="30" t="s">
        <v>257</v>
      </c>
      <c r="F91" s="31" t="s">
        <v>244</v>
      </c>
    </row>
    <row r="92" spans="1:6" ht="18" customHeight="1" x14ac:dyDescent="0.25">
      <c r="A92" s="27">
        <v>31940</v>
      </c>
      <c r="B92" s="28" t="s">
        <v>32</v>
      </c>
      <c r="C92" s="28" t="s">
        <v>32</v>
      </c>
      <c r="D92" s="29" t="s">
        <v>7</v>
      </c>
      <c r="E92" s="30" t="s">
        <v>257</v>
      </c>
      <c r="F92" s="31" t="s">
        <v>244</v>
      </c>
    </row>
    <row r="93" spans="1:6" ht="18" customHeight="1" x14ac:dyDescent="0.25">
      <c r="A93" s="27">
        <v>31950</v>
      </c>
      <c r="B93" s="28" t="s">
        <v>32</v>
      </c>
      <c r="C93" s="28" t="s">
        <v>32</v>
      </c>
      <c r="D93" s="29" t="s">
        <v>112</v>
      </c>
      <c r="E93" s="30" t="s">
        <v>257</v>
      </c>
      <c r="F93" s="31" t="s">
        <v>244</v>
      </c>
    </row>
    <row r="94" spans="1:6" ht="18" customHeight="1" x14ac:dyDescent="0.25">
      <c r="A94" s="27">
        <v>31951</v>
      </c>
      <c r="B94" s="28" t="s">
        <v>32</v>
      </c>
      <c r="C94" s="28" t="s">
        <v>321</v>
      </c>
      <c r="D94" s="29" t="s">
        <v>161</v>
      </c>
      <c r="E94" s="30" t="s">
        <v>257</v>
      </c>
      <c r="F94" s="31" t="s">
        <v>244</v>
      </c>
    </row>
    <row r="95" spans="1:6" ht="18" customHeight="1" x14ac:dyDescent="0.25">
      <c r="A95" s="27">
        <v>31952</v>
      </c>
      <c r="B95" s="28" t="s">
        <v>32</v>
      </c>
      <c r="C95" s="28" t="s">
        <v>321</v>
      </c>
      <c r="D95" s="29" t="s">
        <v>58</v>
      </c>
      <c r="E95" s="30" t="s">
        <v>257</v>
      </c>
      <c r="F95" s="31" t="s">
        <v>244</v>
      </c>
    </row>
    <row r="96" spans="1:6" ht="18" customHeight="1" x14ac:dyDescent="0.25">
      <c r="A96" s="27">
        <v>31953</v>
      </c>
      <c r="B96" s="28" t="s">
        <v>32</v>
      </c>
      <c r="C96" s="28" t="s">
        <v>321</v>
      </c>
      <c r="D96" s="29" t="s">
        <v>319</v>
      </c>
      <c r="E96" s="30" t="s">
        <v>258</v>
      </c>
      <c r="F96" s="31" t="s">
        <v>244</v>
      </c>
    </row>
    <row r="97" spans="1:6" ht="18" customHeight="1" x14ac:dyDescent="0.25">
      <c r="A97" s="27">
        <v>31960</v>
      </c>
      <c r="B97" s="28" t="s">
        <v>32</v>
      </c>
      <c r="C97" s="28" t="s">
        <v>32</v>
      </c>
      <c r="D97" s="29" t="s">
        <v>235</v>
      </c>
      <c r="E97" s="30" t="s">
        <v>257</v>
      </c>
      <c r="F97" s="31" t="s">
        <v>244</v>
      </c>
    </row>
    <row r="98" spans="1:6" ht="18" customHeight="1" x14ac:dyDescent="0.25">
      <c r="A98" s="27">
        <v>31970</v>
      </c>
      <c r="B98" s="28" t="s">
        <v>32</v>
      </c>
      <c r="C98" s="28" t="s">
        <v>32</v>
      </c>
      <c r="D98" s="29" t="s">
        <v>341</v>
      </c>
      <c r="E98" s="30" t="s">
        <v>257</v>
      </c>
      <c r="F98" s="31" t="s">
        <v>244</v>
      </c>
    </row>
    <row r="99" spans="1:6" ht="18" customHeight="1" x14ac:dyDescent="0.25">
      <c r="A99" s="27">
        <v>31980</v>
      </c>
      <c r="B99" s="28" t="s">
        <v>32</v>
      </c>
      <c r="C99" s="28" t="s">
        <v>32</v>
      </c>
      <c r="D99" s="29" t="s">
        <v>24</v>
      </c>
      <c r="E99" s="30" t="s">
        <v>257</v>
      </c>
      <c r="F99" s="31" t="s">
        <v>244</v>
      </c>
    </row>
    <row r="100" spans="1:6" ht="18" customHeight="1" x14ac:dyDescent="0.25">
      <c r="A100" s="27">
        <v>31990</v>
      </c>
      <c r="B100" s="28" t="s">
        <v>32</v>
      </c>
      <c r="C100" s="28" t="s">
        <v>32</v>
      </c>
      <c r="D100" s="29" t="s">
        <v>157</v>
      </c>
      <c r="E100" s="30" t="s">
        <v>257</v>
      </c>
      <c r="F100" s="31" t="s">
        <v>244</v>
      </c>
    </row>
    <row r="101" spans="1:6" ht="18" customHeight="1" x14ac:dyDescent="0.25">
      <c r="A101" s="27">
        <v>32000</v>
      </c>
      <c r="B101" s="28" t="s">
        <v>31</v>
      </c>
      <c r="C101" s="28" t="s">
        <v>31</v>
      </c>
      <c r="D101" s="29"/>
      <c r="E101" s="30"/>
      <c r="F101" s="31"/>
    </row>
    <row r="102" spans="1:6" ht="18" customHeight="1" x14ac:dyDescent="0.25">
      <c r="A102" s="27">
        <v>32010</v>
      </c>
      <c r="B102" s="28" t="s">
        <v>31</v>
      </c>
      <c r="C102" s="28" t="s">
        <v>31</v>
      </c>
      <c r="D102" s="29" t="s">
        <v>89</v>
      </c>
      <c r="E102" s="30" t="s">
        <v>257</v>
      </c>
      <c r="F102" s="31" t="s">
        <v>244</v>
      </c>
    </row>
    <row r="103" spans="1:6" ht="18" customHeight="1" x14ac:dyDescent="0.25">
      <c r="A103" s="27">
        <v>32020</v>
      </c>
      <c r="B103" s="28" t="s">
        <v>31</v>
      </c>
      <c r="C103" s="28" t="s">
        <v>31</v>
      </c>
      <c r="D103" s="29" t="s">
        <v>106</v>
      </c>
      <c r="E103" s="30" t="s">
        <v>257</v>
      </c>
      <c r="F103" s="31" t="s">
        <v>244</v>
      </c>
    </row>
    <row r="104" spans="1:6" ht="18" customHeight="1" x14ac:dyDescent="0.25">
      <c r="A104" s="27">
        <v>32030</v>
      </c>
      <c r="B104" s="28" t="s">
        <v>31</v>
      </c>
      <c r="C104" s="28" t="s">
        <v>31</v>
      </c>
      <c r="D104" s="29" t="s">
        <v>98</v>
      </c>
      <c r="E104" s="30" t="s">
        <v>257</v>
      </c>
      <c r="F104" s="31" t="s">
        <v>244</v>
      </c>
    </row>
    <row r="105" spans="1:6" ht="18" customHeight="1" x14ac:dyDescent="0.25">
      <c r="A105" s="27">
        <v>32040</v>
      </c>
      <c r="B105" s="28" t="s">
        <v>31</v>
      </c>
      <c r="C105" s="28" t="s">
        <v>31</v>
      </c>
      <c r="D105" s="29" t="s">
        <v>147</v>
      </c>
      <c r="E105" s="30" t="s">
        <v>257</v>
      </c>
      <c r="F105" s="31" t="s">
        <v>244</v>
      </c>
    </row>
    <row r="106" spans="1:6" ht="18" customHeight="1" x14ac:dyDescent="0.25">
      <c r="A106" s="27">
        <v>32080</v>
      </c>
      <c r="B106" s="28" t="s">
        <v>31</v>
      </c>
      <c r="C106" s="28" t="s">
        <v>31</v>
      </c>
      <c r="D106" s="29" t="s">
        <v>201</v>
      </c>
      <c r="E106" s="30" t="s">
        <v>257</v>
      </c>
      <c r="F106" s="31" t="s">
        <v>244</v>
      </c>
    </row>
    <row r="107" spans="1:6" ht="18" customHeight="1" x14ac:dyDescent="0.25">
      <c r="A107" s="27">
        <v>32090</v>
      </c>
      <c r="B107" s="28" t="s">
        <v>31</v>
      </c>
      <c r="C107" s="28" t="s">
        <v>31</v>
      </c>
      <c r="D107" s="29" t="s">
        <v>93</v>
      </c>
      <c r="E107" s="30" t="s">
        <v>257</v>
      </c>
      <c r="F107" s="31" t="s">
        <v>244</v>
      </c>
    </row>
    <row r="108" spans="1:6" ht="18" customHeight="1" x14ac:dyDescent="0.25">
      <c r="A108" s="27">
        <v>32100</v>
      </c>
      <c r="B108" s="28" t="s">
        <v>31</v>
      </c>
      <c r="C108" s="28" t="s">
        <v>31</v>
      </c>
      <c r="D108" s="29" t="s">
        <v>343</v>
      </c>
      <c r="E108" s="30" t="s">
        <v>257</v>
      </c>
      <c r="F108" s="31" t="s">
        <v>244</v>
      </c>
    </row>
    <row r="109" spans="1:6" ht="18" customHeight="1" x14ac:dyDescent="0.25">
      <c r="A109" s="27">
        <v>32110</v>
      </c>
      <c r="B109" s="28" t="s">
        <v>31</v>
      </c>
      <c r="C109" s="28" t="s">
        <v>31</v>
      </c>
      <c r="D109" s="29" t="s">
        <v>96</v>
      </c>
      <c r="E109" s="30" t="s">
        <v>257</v>
      </c>
      <c r="F109" s="31" t="s">
        <v>244</v>
      </c>
    </row>
    <row r="110" spans="1:6" ht="18" customHeight="1" x14ac:dyDescent="0.25">
      <c r="A110" s="27">
        <v>32120</v>
      </c>
      <c r="B110" s="28" t="s">
        <v>31</v>
      </c>
      <c r="C110" s="28" t="s">
        <v>31</v>
      </c>
      <c r="D110" s="29" t="s">
        <v>236</v>
      </c>
      <c r="E110" s="30" t="s">
        <v>257</v>
      </c>
      <c r="F110" s="31" t="s">
        <v>244</v>
      </c>
    </row>
    <row r="111" spans="1:6" ht="18" customHeight="1" x14ac:dyDescent="0.25">
      <c r="A111" s="27">
        <v>32130</v>
      </c>
      <c r="B111" s="28" t="s">
        <v>31</v>
      </c>
      <c r="C111" s="28" t="s">
        <v>31</v>
      </c>
      <c r="D111" s="29" t="s">
        <v>149</v>
      </c>
      <c r="E111" s="30" t="s">
        <v>257</v>
      </c>
      <c r="F111" s="31" t="s">
        <v>244</v>
      </c>
    </row>
    <row r="112" spans="1:6" ht="18" customHeight="1" x14ac:dyDescent="0.25">
      <c r="A112" s="27">
        <v>32140</v>
      </c>
      <c r="B112" s="28" t="s">
        <v>31</v>
      </c>
      <c r="C112" s="28" t="s">
        <v>31</v>
      </c>
      <c r="D112" s="29" t="s">
        <v>94</v>
      </c>
      <c r="E112" s="30" t="s">
        <v>257</v>
      </c>
      <c r="F112" s="31" t="s">
        <v>244</v>
      </c>
    </row>
    <row r="113" spans="1:6" ht="18" customHeight="1" x14ac:dyDescent="0.25">
      <c r="A113" s="27">
        <v>32200</v>
      </c>
      <c r="B113" s="28" t="s">
        <v>127</v>
      </c>
      <c r="C113" s="28" t="s">
        <v>127</v>
      </c>
      <c r="D113" s="29"/>
      <c r="E113" s="30" t="s">
        <v>257</v>
      </c>
      <c r="F113" s="31" t="s">
        <v>244</v>
      </c>
    </row>
    <row r="114" spans="1:6" ht="18" customHeight="1" x14ac:dyDescent="0.25">
      <c r="A114" s="27">
        <v>32210</v>
      </c>
      <c r="B114" s="28" t="s">
        <v>127</v>
      </c>
      <c r="C114" s="28" t="s">
        <v>127</v>
      </c>
      <c r="D114" s="29" t="s">
        <v>152</v>
      </c>
      <c r="E114" s="30" t="s">
        <v>257</v>
      </c>
      <c r="F114" s="31" t="s">
        <v>244</v>
      </c>
    </row>
    <row r="115" spans="1:6" ht="18" customHeight="1" x14ac:dyDescent="0.25">
      <c r="A115" s="27">
        <v>32220</v>
      </c>
      <c r="B115" s="28" t="s">
        <v>127</v>
      </c>
      <c r="C115" s="28" t="s">
        <v>127</v>
      </c>
      <c r="D115" s="29" t="s">
        <v>154</v>
      </c>
      <c r="E115" s="30" t="s">
        <v>257</v>
      </c>
      <c r="F115" s="31" t="s">
        <v>244</v>
      </c>
    </row>
    <row r="116" spans="1:6" ht="18" customHeight="1" x14ac:dyDescent="0.25">
      <c r="A116" s="27">
        <v>32230</v>
      </c>
      <c r="B116" s="28" t="s">
        <v>127</v>
      </c>
      <c r="C116" s="28" t="s">
        <v>127</v>
      </c>
      <c r="D116" s="29" t="s">
        <v>76</v>
      </c>
      <c r="E116" s="30" t="s">
        <v>257</v>
      </c>
      <c r="F116" s="31" t="s">
        <v>244</v>
      </c>
    </row>
    <row r="117" spans="1:6" ht="18" customHeight="1" x14ac:dyDescent="0.25">
      <c r="A117" s="27">
        <v>32400</v>
      </c>
      <c r="B117" s="28" t="s">
        <v>38</v>
      </c>
      <c r="C117" s="28" t="s">
        <v>38</v>
      </c>
      <c r="D117" s="29"/>
      <c r="E117" s="30"/>
      <c r="F117" s="31"/>
    </row>
    <row r="118" spans="1:6" ht="18" customHeight="1" x14ac:dyDescent="0.25">
      <c r="A118" s="27">
        <v>32410</v>
      </c>
      <c r="B118" s="28" t="s">
        <v>38</v>
      </c>
      <c r="C118" s="28" t="s">
        <v>38</v>
      </c>
      <c r="D118" s="29" t="s">
        <v>138</v>
      </c>
      <c r="E118" s="30" t="s">
        <v>257</v>
      </c>
      <c r="F118" s="31" t="s">
        <v>244</v>
      </c>
    </row>
    <row r="119" spans="1:6" ht="18" customHeight="1" x14ac:dyDescent="0.25">
      <c r="A119" s="27">
        <v>32420</v>
      </c>
      <c r="B119" s="28" t="s">
        <v>38</v>
      </c>
      <c r="C119" s="28" t="s">
        <v>38</v>
      </c>
      <c r="D119" s="29" t="s">
        <v>135</v>
      </c>
      <c r="E119" s="30" t="s">
        <v>257</v>
      </c>
      <c r="F119" s="31" t="s">
        <v>244</v>
      </c>
    </row>
    <row r="120" spans="1:6" ht="18" customHeight="1" x14ac:dyDescent="0.25">
      <c r="A120" s="27">
        <v>32425</v>
      </c>
      <c r="B120" s="28" t="s">
        <v>38</v>
      </c>
      <c r="C120" s="28" t="s">
        <v>38</v>
      </c>
      <c r="D120" s="29" t="s">
        <v>382</v>
      </c>
      <c r="E120" s="30" t="s">
        <v>257</v>
      </c>
      <c r="F120" s="31" t="s">
        <v>244</v>
      </c>
    </row>
    <row r="121" spans="1:6" ht="18" customHeight="1" x14ac:dyDescent="0.25">
      <c r="A121" s="27">
        <v>32430</v>
      </c>
      <c r="B121" s="28" t="s">
        <v>38</v>
      </c>
      <c r="C121" s="28" t="s">
        <v>38</v>
      </c>
      <c r="D121" s="29" t="s">
        <v>237</v>
      </c>
      <c r="E121" s="30"/>
      <c r="F121" s="31"/>
    </row>
    <row r="122" spans="1:6" ht="18" customHeight="1" x14ac:dyDescent="0.25">
      <c r="A122" s="27">
        <v>32431</v>
      </c>
      <c r="B122" s="28" t="s">
        <v>38</v>
      </c>
      <c r="C122" s="28" t="s">
        <v>38</v>
      </c>
      <c r="D122" s="29" t="s">
        <v>83</v>
      </c>
      <c r="E122" s="30" t="s">
        <v>257</v>
      </c>
      <c r="F122" s="31" t="s">
        <v>244</v>
      </c>
    </row>
    <row r="123" spans="1:6" ht="18" customHeight="1" x14ac:dyDescent="0.25">
      <c r="A123" s="27">
        <v>32432</v>
      </c>
      <c r="B123" s="28" t="s">
        <v>38</v>
      </c>
      <c r="C123" s="28" t="s">
        <v>38</v>
      </c>
      <c r="D123" s="29" t="s">
        <v>75</v>
      </c>
      <c r="E123" s="30" t="s">
        <v>257</v>
      </c>
      <c r="F123" s="31" t="s">
        <v>244</v>
      </c>
    </row>
    <row r="124" spans="1:6" ht="18" customHeight="1" x14ac:dyDescent="0.25">
      <c r="A124" s="27">
        <v>32433</v>
      </c>
      <c r="B124" s="28" t="s">
        <v>38</v>
      </c>
      <c r="C124" s="28" t="s">
        <v>38</v>
      </c>
      <c r="D124" s="29" t="s">
        <v>174</v>
      </c>
      <c r="E124" s="30" t="s">
        <v>257</v>
      </c>
      <c r="F124" s="31" t="s">
        <v>244</v>
      </c>
    </row>
    <row r="125" spans="1:6" ht="18" customHeight="1" x14ac:dyDescent="0.25">
      <c r="A125" s="27">
        <v>32434</v>
      </c>
      <c r="B125" s="28" t="s">
        <v>38</v>
      </c>
      <c r="C125" s="28" t="s">
        <v>38</v>
      </c>
      <c r="D125" s="29" t="s">
        <v>114</v>
      </c>
      <c r="E125" s="30" t="s">
        <v>257</v>
      </c>
      <c r="F125" s="31" t="s">
        <v>244</v>
      </c>
    </row>
    <row r="126" spans="1:6" ht="18" customHeight="1" x14ac:dyDescent="0.25">
      <c r="A126" s="27">
        <v>32440</v>
      </c>
      <c r="B126" s="28" t="s">
        <v>38</v>
      </c>
      <c r="C126" s="28" t="s">
        <v>38</v>
      </c>
      <c r="D126" s="29" t="s">
        <v>383</v>
      </c>
      <c r="E126" s="30" t="s">
        <v>257</v>
      </c>
      <c r="F126" s="31" t="s">
        <v>244</v>
      </c>
    </row>
    <row r="127" spans="1:6" ht="18" customHeight="1" x14ac:dyDescent="0.25">
      <c r="A127" s="27">
        <v>32450</v>
      </c>
      <c r="B127" s="28" t="s">
        <v>38</v>
      </c>
      <c r="C127" s="28" t="s">
        <v>38</v>
      </c>
      <c r="D127" s="29" t="s">
        <v>384</v>
      </c>
      <c r="E127" s="30" t="s">
        <v>257</v>
      </c>
      <c r="F127" s="31" t="s">
        <v>244</v>
      </c>
    </row>
    <row r="128" spans="1:6" ht="18" customHeight="1" x14ac:dyDescent="0.25">
      <c r="A128" s="27">
        <v>32460</v>
      </c>
      <c r="B128" s="28" t="s">
        <v>38</v>
      </c>
      <c r="C128" s="28" t="s">
        <v>38</v>
      </c>
      <c r="D128" s="29" t="s">
        <v>2</v>
      </c>
      <c r="E128" s="30" t="s">
        <v>257</v>
      </c>
      <c r="F128" s="31" t="s">
        <v>244</v>
      </c>
    </row>
    <row r="129" spans="1:6" ht="18" customHeight="1" x14ac:dyDescent="0.25">
      <c r="A129" s="27">
        <v>32470</v>
      </c>
      <c r="B129" s="28" t="s">
        <v>38</v>
      </c>
      <c r="C129" s="28" t="s">
        <v>38</v>
      </c>
      <c r="D129" s="29" t="s">
        <v>385</v>
      </c>
      <c r="E129" s="30" t="s">
        <v>257</v>
      </c>
      <c r="F129" s="31" t="s">
        <v>244</v>
      </c>
    </row>
    <row r="130" spans="1:6" ht="18" customHeight="1" x14ac:dyDescent="0.25">
      <c r="A130" s="27">
        <v>32480</v>
      </c>
      <c r="B130" s="28" t="s">
        <v>38</v>
      </c>
      <c r="C130" s="28" t="s">
        <v>38</v>
      </c>
      <c r="D130" s="29" t="s">
        <v>386</v>
      </c>
      <c r="E130" s="30" t="s">
        <v>257</v>
      </c>
      <c r="F130" s="31" t="s">
        <v>244</v>
      </c>
    </row>
    <row r="131" spans="1:6" ht="18" customHeight="1" x14ac:dyDescent="0.25">
      <c r="A131" s="27">
        <v>32490</v>
      </c>
      <c r="B131" s="28" t="s">
        <v>38</v>
      </c>
      <c r="C131" s="28" t="s">
        <v>38</v>
      </c>
      <c r="D131" s="29" t="s">
        <v>264</v>
      </c>
      <c r="E131" s="30" t="s">
        <v>257</v>
      </c>
      <c r="F131" s="31" t="s">
        <v>244</v>
      </c>
    </row>
    <row r="132" spans="1:6" ht="18" customHeight="1" x14ac:dyDescent="0.25">
      <c r="A132" s="27">
        <v>32499</v>
      </c>
      <c r="B132" s="28" t="s">
        <v>38</v>
      </c>
      <c r="C132" s="28" t="s">
        <v>38</v>
      </c>
      <c r="D132" s="29" t="s">
        <v>90</v>
      </c>
      <c r="E132" s="30" t="s">
        <v>257</v>
      </c>
      <c r="F132" s="31" t="s">
        <v>244</v>
      </c>
    </row>
    <row r="133" spans="1:6" ht="18" customHeight="1" x14ac:dyDescent="0.25">
      <c r="A133" s="27">
        <v>33000</v>
      </c>
      <c r="B133" s="28" t="s">
        <v>66</v>
      </c>
      <c r="C133" s="28" t="s">
        <v>66</v>
      </c>
      <c r="D133" s="29" t="s">
        <v>334</v>
      </c>
      <c r="E133" s="30"/>
      <c r="F133" s="31"/>
    </row>
    <row r="134" spans="1:6" ht="18" customHeight="1" x14ac:dyDescent="0.25">
      <c r="A134" s="27">
        <v>33010</v>
      </c>
      <c r="B134" s="28" t="s">
        <v>66</v>
      </c>
      <c r="C134" s="28" t="s">
        <v>66</v>
      </c>
      <c r="D134" s="29" t="s">
        <v>150</v>
      </c>
      <c r="E134" s="30" t="s">
        <v>257</v>
      </c>
      <c r="F134" s="31" t="s">
        <v>244</v>
      </c>
    </row>
    <row r="135" spans="1:6" ht="18" customHeight="1" x14ac:dyDescent="0.25">
      <c r="A135" s="27">
        <v>33020</v>
      </c>
      <c r="B135" s="28" t="s">
        <v>66</v>
      </c>
      <c r="C135" s="28" t="s">
        <v>66</v>
      </c>
      <c r="D135" s="29" t="s">
        <v>155</v>
      </c>
      <c r="E135" s="30" t="s">
        <v>257</v>
      </c>
      <c r="F135" s="31" t="s">
        <v>244</v>
      </c>
    </row>
    <row r="136" spans="1:6" ht="18" customHeight="1" x14ac:dyDescent="0.25">
      <c r="A136" s="27">
        <v>33021</v>
      </c>
      <c r="B136" s="28" t="s">
        <v>66</v>
      </c>
      <c r="C136" s="28" t="s">
        <v>66</v>
      </c>
      <c r="D136" s="29" t="s">
        <v>8</v>
      </c>
      <c r="E136" s="30" t="s">
        <v>257</v>
      </c>
      <c r="F136" s="31" t="s">
        <v>244</v>
      </c>
    </row>
    <row r="137" spans="1:6" ht="18" customHeight="1" x14ac:dyDescent="0.25">
      <c r="A137" s="27">
        <v>33022</v>
      </c>
      <c r="B137" s="28" t="s">
        <v>66</v>
      </c>
      <c r="C137" s="28" t="s">
        <v>66</v>
      </c>
      <c r="D137" s="29" t="s">
        <v>214</v>
      </c>
      <c r="E137" s="30" t="s">
        <v>257</v>
      </c>
      <c r="F137" s="31" t="s">
        <v>244</v>
      </c>
    </row>
    <row r="138" spans="1:6" ht="18" customHeight="1" x14ac:dyDescent="0.25">
      <c r="A138" s="27">
        <v>33023</v>
      </c>
      <c r="B138" s="28" t="s">
        <v>66</v>
      </c>
      <c r="C138" s="28" t="s">
        <v>66</v>
      </c>
      <c r="D138" s="29" t="s">
        <v>238</v>
      </c>
      <c r="E138" s="30" t="s">
        <v>257</v>
      </c>
      <c r="F138" s="31" t="s">
        <v>244</v>
      </c>
    </row>
    <row r="139" spans="1:6" ht="18" customHeight="1" x14ac:dyDescent="0.25">
      <c r="A139" s="27">
        <v>33030</v>
      </c>
      <c r="B139" s="28" t="s">
        <v>66</v>
      </c>
      <c r="C139" s="28" t="s">
        <v>66</v>
      </c>
      <c r="D139" s="29" t="s">
        <v>153</v>
      </c>
      <c r="E139" s="30" t="s">
        <v>257</v>
      </c>
      <c r="F139" s="31" t="s">
        <v>244</v>
      </c>
    </row>
    <row r="140" spans="1:6" ht="18" customHeight="1" x14ac:dyDescent="0.25">
      <c r="A140" s="27">
        <v>33040</v>
      </c>
      <c r="B140" s="28" t="s">
        <v>66</v>
      </c>
      <c r="C140" s="28" t="s">
        <v>66</v>
      </c>
      <c r="D140" s="29" t="s">
        <v>156</v>
      </c>
      <c r="E140" s="30" t="s">
        <v>257</v>
      </c>
      <c r="F140" s="31" t="s">
        <v>244</v>
      </c>
    </row>
    <row r="141" spans="1:6" ht="18" customHeight="1" x14ac:dyDescent="0.25">
      <c r="A141" s="27">
        <v>33050</v>
      </c>
      <c r="B141" s="28" t="s">
        <v>66</v>
      </c>
      <c r="C141" s="28" t="s">
        <v>66</v>
      </c>
      <c r="D141" s="29" t="s">
        <v>95</v>
      </c>
      <c r="E141" s="30" t="s">
        <v>257</v>
      </c>
      <c r="F141" s="31" t="s">
        <v>244</v>
      </c>
    </row>
    <row r="142" spans="1:6" ht="18" customHeight="1" x14ac:dyDescent="0.25">
      <c r="A142" s="27">
        <v>33051</v>
      </c>
      <c r="B142" s="28" t="s">
        <v>66</v>
      </c>
      <c r="C142" s="28" t="s">
        <v>66</v>
      </c>
      <c r="D142" s="29" t="s">
        <v>69</v>
      </c>
      <c r="E142" s="30" t="s">
        <v>257</v>
      </c>
      <c r="F142" s="31" t="s">
        <v>244</v>
      </c>
    </row>
    <row r="143" spans="1:6" ht="18" customHeight="1" x14ac:dyDescent="0.25">
      <c r="A143" s="27">
        <v>33052</v>
      </c>
      <c r="B143" s="28" t="s">
        <v>66</v>
      </c>
      <c r="C143" s="28" t="s">
        <v>66</v>
      </c>
      <c r="D143" s="29" t="s">
        <v>171</v>
      </c>
      <c r="E143" s="30" t="s">
        <v>257</v>
      </c>
      <c r="F143" s="31" t="s">
        <v>244</v>
      </c>
    </row>
    <row r="144" spans="1:6" ht="18" customHeight="1" x14ac:dyDescent="0.25">
      <c r="A144" s="27">
        <v>34000</v>
      </c>
      <c r="B144" s="28" t="s">
        <v>39</v>
      </c>
      <c r="C144" s="28" t="s">
        <v>39</v>
      </c>
      <c r="D144" s="29" t="s">
        <v>212</v>
      </c>
      <c r="E144" s="30"/>
      <c r="F144" s="31"/>
    </row>
    <row r="145" spans="1:7" ht="18" customHeight="1" x14ac:dyDescent="0.25">
      <c r="A145" s="27">
        <v>34010</v>
      </c>
      <c r="B145" s="28" t="s">
        <v>39</v>
      </c>
      <c r="C145" s="28" t="s">
        <v>39</v>
      </c>
      <c r="D145" s="29" t="s">
        <v>10</v>
      </c>
      <c r="E145" s="30" t="s">
        <v>257</v>
      </c>
      <c r="F145" s="31" t="s">
        <v>244</v>
      </c>
      <c r="G145" t="s">
        <v>285</v>
      </c>
    </row>
    <row r="146" spans="1:7" ht="18" customHeight="1" x14ac:dyDescent="0.25">
      <c r="A146" s="27">
        <v>34020</v>
      </c>
      <c r="B146" s="28" t="s">
        <v>39</v>
      </c>
      <c r="C146" s="28" t="s">
        <v>39</v>
      </c>
      <c r="D146" s="29" t="s">
        <v>178</v>
      </c>
      <c r="E146" s="30" t="s">
        <v>257</v>
      </c>
      <c r="F146" s="31" t="s">
        <v>244</v>
      </c>
      <c r="G146" t="s">
        <v>273</v>
      </c>
    </row>
    <row r="147" spans="1:7" ht="18" customHeight="1" x14ac:dyDescent="0.25">
      <c r="A147" s="27">
        <v>34030</v>
      </c>
      <c r="B147" s="28" t="s">
        <v>39</v>
      </c>
      <c r="C147" s="28" t="s">
        <v>39</v>
      </c>
      <c r="D147" s="29" t="s">
        <v>266</v>
      </c>
      <c r="E147" s="30" t="s">
        <v>257</v>
      </c>
      <c r="F147" s="31" t="s">
        <v>244</v>
      </c>
      <c r="G147" t="s">
        <v>205</v>
      </c>
    </row>
    <row r="148" spans="1:7" ht="18" customHeight="1" x14ac:dyDescent="0.25">
      <c r="A148" s="27">
        <v>34040</v>
      </c>
      <c r="B148" s="28" t="s">
        <v>39</v>
      </c>
      <c r="C148" s="28" t="s">
        <v>39</v>
      </c>
      <c r="D148" s="29" t="s">
        <v>74</v>
      </c>
      <c r="E148" s="30" t="s">
        <v>257</v>
      </c>
      <c r="F148" s="31" t="s">
        <v>244</v>
      </c>
      <c r="G148" t="s">
        <v>355</v>
      </c>
    </row>
    <row r="149" spans="1:7" ht="18" customHeight="1" x14ac:dyDescent="0.25">
      <c r="A149" s="27">
        <v>34050</v>
      </c>
      <c r="B149" s="28" t="s">
        <v>39</v>
      </c>
      <c r="C149" s="28" t="s">
        <v>39</v>
      </c>
      <c r="D149" s="29" t="s">
        <v>100</v>
      </c>
      <c r="E149" s="30" t="s">
        <v>257</v>
      </c>
      <c r="F149" s="31" t="s">
        <v>244</v>
      </c>
    </row>
    <row r="150" spans="1:7" ht="18" customHeight="1" x14ac:dyDescent="0.25">
      <c r="A150" s="27">
        <v>34060</v>
      </c>
      <c r="B150" s="28" t="s">
        <v>39</v>
      </c>
      <c r="C150" s="28" t="s">
        <v>39</v>
      </c>
      <c r="D150" s="29" t="s">
        <v>168</v>
      </c>
      <c r="E150" s="30" t="s">
        <v>257</v>
      </c>
      <c r="F150" s="31" t="s">
        <v>244</v>
      </c>
    </row>
    <row r="151" spans="1:7" ht="18" customHeight="1" x14ac:dyDescent="0.25">
      <c r="A151" s="27">
        <v>34070</v>
      </c>
      <c r="B151" s="28" t="s">
        <v>39</v>
      </c>
      <c r="C151" s="28" t="s">
        <v>39</v>
      </c>
      <c r="D151" s="29" t="s">
        <v>200</v>
      </c>
      <c r="E151" s="30" t="s">
        <v>257</v>
      </c>
      <c r="F151" s="31" t="s">
        <v>244</v>
      </c>
    </row>
    <row r="152" spans="1:7" ht="18" customHeight="1" x14ac:dyDescent="0.25">
      <c r="A152" s="27">
        <v>34080</v>
      </c>
      <c r="B152" s="28" t="s">
        <v>39</v>
      </c>
      <c r="C152" s="28" t="s">
        <v>39</v>
      </c>
      <c r="D152" s="29" t="s">
        <v>3</v>
      </c>
      <c r="E152" s="30" t="s">
        <v>257</v>
      </c>
      <c r="F152" s="31" t="s">
        <v>244</v>
      </c>
    </row>
    <row r="153" spans="1:7" ht="18" customHeight="1" x14ac:dyDescent="0.25">
      <c r="A153" s="27">
        <v>34100</v>
      </c>
      <c r="B153" s="28" t="s">
        <v>39</v>
      </c>
      <c r="C153" s="28" t="s">
        <v>39</v>
      </c>
      <c r="D153" s="29" t="s">
        <v>121</v>
      </c>
      <c r="E153" s="30" t="s">
        <v>257</v>
      </c>
      <c r="F153" s="31" t="s">
        <v>244</v>
      </c>
    </row>
    <row r="154" spans="1:7" ht="18" customHeight="1" x14ac:dyDescent="0.25">
      <c r="A154" s="27">
        <v>34200</v>
      </c>
      <c r="B154" s="28" t="s">
        <v>39</v>
      </c>
      <c r="C154" s="28" t="s">
        <v>39</v>
      </c>
      <c r="D154" s="29" t="s">
        <v>99</v>
      </c>
      <c r="E154" s="30" t="s">
        <v>257</v>
      </c>
      <c r="F154" s="31" t="s">
        <v>244</v>
      </c>
    </row>
    <row r="155" spans="1:7" ht="18" customHeight="1" x14ac:dyDescent="0.25">
      <c r="A155" s="27">
        <v>34300</v>
      </c>
      <c r="B155" s="28" t="s">
        <v>39</v>
      </c>
      <c r="C155" s="28" t="s">
        <v>39</v>
      </c>
      <c r="D155" s="29" t="s">
        <v>240</v>
      </c>
      <c r="E155" s="30" t="s">
        <v>257</v>
      </c>
      <c r="F155" s="31" t="s">
        <v>244</v>
      </c>
    </row>
    <row r="156" spans="1:7" ht="18" customHeight="1" x14ac:dyDescent="0.25">
      <c r="A156" s="27">
        <v>34310</v>
      </c>
      <c r="B156" s="28" t="s">
        <v>39</v>
      </c>
      <c r="C156" s="28" t="s">
        <v>39</v>
      </c>
      <c r="D156" s="29" t="s">
        <v>4</v>
      </c>
      <c r="E156" s="30" t="s">
        <v>257</v>
      </c>
      <c r="F156" s="31" t="s">
        <v>244</v>
      </c>
    </row>
    <row r="157" spans="1:7" ht="18" customHeight="1" x14ac:dyDescent="0.25">
      <c r="A157" s="27">
        <v>34500</v>
      </c>
      <c r="B157" s="28" t="s">
        <v>39</v>
      </c>
      <c r="C157" s="28" t="s">
        <v>39</v>
      </c>
      <c r="D157" s="29" t="s">
        <v>97</v>
      </c>
      <c r="E157" s="30" t="s">
        <v>257</v>
      </c>
      <c r="F157" s="31" t="s">
        <v>244</v>
      </c>
    </row>
    <row r="158" spans="1:7" ht="18" customHeight="1" x14ac:dyDescent="0.25">
      <c r="A158" s="27">
        <v>34600</v>
      </c>
      <c r="B158" s="28" t="s">
        <v>39</v>
      </c>
      <c r="C158" s="28" t="s">
        <v>39</v>
      </c>
      <c r="D158" s="29" t="s">
        <v>107</v>
      </c>
      <c r="E158" s="30" t="s">
        <v>257</v>
      </c>
      <c r="F158" s="31" t="s">
        <v>244</v>
      </c>
    </row>
    <row r="159" spans="1:7" ht="18" customHeight="1" x14ac:dyDescent="0.25">
      <c r="A159" s="27">
        <v>34700</v>
      </c>
      <c r="B159" s="28" t="s">
        <v>39</v>
      </c>
      <c r="C159" s="28" t="s">
        <v>39</v>
      </c>
      <c r="D159" s="29" t="s">
        <v>0</v>
      </c>
      <c r="E159" s="30" t="s">
        <v>257</v>
      </c>
      <c r="F159" s="31" t="s">
        <v>244</v>
      </c>
    </row>
    <row r="160" spans="1:7" ht="18" customHeight="1" x14ac:dyDescent="0.25">
      <c r="A160" s="27">
        <v>34800</v>
      </c>
      <c r="B160" s="28" t="s">
        <v>39</v>
      </c>
      <c r="C160" s="28" t="s">
        <v>39</v>
      </c>
      <c r="D160" s="29" t="s">
        <v>102</v>
      </c>
      <c r="E160" s="30" t="s">
        <v>257</v>
      </c>
      <c r="F160" s="31" t="s">
        <v>244</v>
      </c>
    </row>
    <row r="161" spans="1:7" ht="18" customHeight="1" x14ac:dyDescent="0.25">
      <c r="A161" s="27">
        <v>34900</v>
      </c>
      <c r="B161" s="28" t="s">
        <v>39</v>
      </c>
      <c r="C161" s="28" t="s">
        <v>39</v>
      </c>
      <c r="D161" s="29" t="s">
        <v>399</v>
      </c>
      <c r="E161" s="30" t="s">
        <v>400</v>
      </c>
      <c r="F161" s="31" t="s">
        <v>389</v>
      </c>
      <c r="G161" t="s">
        <v>401</v>
      </c>
    </row>
    <row r="162" spans="1:7" ht="18" customHeight="1" x14ac:dyDescent="0.25">
      <c r="A162" s="27">
        <v>35000</v>
      </c>
      <c r="B162" s="28" t="s">
        <v>56</v>
      </c>
      <c r="C162" s="28" t="s">
        <v>56</v>
      </c>
      <c r="D162" s="29" t="s">
        <v>239</v>
      </c>
      <c r="E162" s="30"/>
      <c r="F162" s="31"/>
    </row>
    <row r="163" spans="1:7" ht="18" customHeight="1" x14ac:dyDescent="0.25">
      <c r="A163" s="27">
        <v>35010</v>
      </c>
      <c r="B163" s="28" t="s">
        <v>56</v>
      </c>
      <c r="C163" s="28" t="s">
        <v>56</v>
      </c>
      <c r="D163" s="29" t="s">
        <v>141</v>
      </c>
      <c r="E163" s="30" t="s">
        <v>257</v>
      </c>
      <c r="F163" s="31" t="s">
        <v>244</v>
      </c>
    </row>
    <row r="164" spans="1:7" ht="18" customHeight="1" x14ac:dyDescent="0.25">
      <c r="A164" s="27">
        <v>35020</v>
      </c>
      <c r="B164" s="28" t="s">
        <v>56</v>
      </c>
      <c r="C164" s="28" t="s">
        <v>56</v>
      </c>
      <c r="D164" s="29" t="s">
        <v>190</v>
      </c>
      <c r="E164" s="30" t="s">
        <v>257</v>
      </c>
      <c r="F164" s="31" t="s">
        <v>244</v>
      </c>
    </row>
    <row r="165" spans="1:7" ht="18" customHeight="1" x14ac:dyDescent="0.25">
      <c r="A165" s="27">
        <v>35030</v>
      </c>
      <c r="B165" s="28" t="s">
        <v>56</v>
      </c>
      <c r="C165" s="28" t="s">
        <v>56</v>
      </c>
      <c r="D165" s="29" t="s">
        <v>142</v>
      </c>
      <c r="E165" s="30" t="s">
        <v>257</v>
      </c>
      <c r="F165" s="31" t="s">
        <v>244</v>
      </c>
    </row>
    <row r="166" spans="1:7" ht="18" customHeight="1" x14ac:dyDescent="0.25">
      <c r="A166" s="27">
        <v>35040</v>
      </c>
      <c r="B166" s="28" t="s">
        <v>56</v>
      </c>
      <c r="C166" s="28" t="s">
        <v>56</v>
      </c>
      <c r="D166" s="29" t="s">
        <v>191</v>
      </c>
      <c r="E166" s="30" t="s">
        <v>257</v>
      </c>
      <c r="F166" s="31" t="s">
        <v>244</v>
      </c>
    </row>
    <row r="167" spans="1:7" ht="18" customHeight="1" x14ac:dyDescent="0.25">
      <c r="A167" s="27">
        <v>35100</v>
      </c>
      <c r="B167" s="28" t="s">
        <v>56</v>
      </c>
      <c r="C167" s="28" t="s">
        <v>56</v>
      </c>
      <c r="D167" s="29" t="s">
        <v>208</v>
      </c>
      <c r="E167" s="30" t="s">
        <v>257</v>
      </c>
      <c r="F167" s="31" t="s">
        <v>244</v>
      </c>
    </row>
    <row r="168" spans="1:7" ht="18" customHeight="1" x14ac:dyDescent="0.25">
      <c r="A168" s="27">
        <v>41000</v>
      </c>
      <c r="B168" s="28" t="s">
        <v>241</v>
      </c>
      <c r="C168" s="28" t="s">
        <v>241</v>
      </c>
      <c r="D168" s="29"/>
      <c r="E168" s="30"/>
      <c r="F168" s="31"/>
    </row>
    <row r="169" spans="1:7" ht="18" customHeight="1" x14ac:dyDescent="0.25">
      <c r="A169" s="27">
        <v>41100</v>
      </c>
      <c r="B169" s="28" t="s">
        <v>41</v>
      </c>
      <c r="C169" s="28" t="s">
        <v>41</v>
      </c>
      <c r="D169" s="46" t="s">
        <v>41</v>
      </c>
      <c r="E169" s="30" t="s">
        <v>257</v>
      </c>
      <c r="F169" s="31" t="s">
        <v>244</v>
      </c>
    </row>
    <row r="170" spans="1:7" ht="18" customHeight="1" x14ac:dyDescent="0.25">
      <c r="A170" s="27">
        <v>41200</v>
      </c>
      <c r="B170" s="28" t="s">
        <v>369</v>
      </c>
      <c r="C170" s="28" t="s">
        <v>369</v>
      </c>
      <c r="D170" s="29" t="s">
        <v>369</v>
      </c>
      <c r="E170" s="30" t="s">
        <v>257</v>
      </c>
      <c r="F170" s="31" t="s">
        <v>244</v>
      </c>
    </row>
    <row r="171" spans="1:7" ht="18" customHeight="1" x14ac:dyDescent="0.25">
      <c r="A171" s="27">
        <v>41210</v>
      </c>
      <c r="B171" s="28" t="s">
        <v>124</v>
      </c>
      <c r="C171" s="28" t="s">
        <v>124</v>
      </c>
      <c r="D171" s="29" t="s">
        <v>77</v>
      </c>
      <c r="E171" s="30" t="s">
        <v>257</v>
      </c>
      <c r="F171" s="31" t="s">
        <v>244</v>
      </c>
    </row>
    <row r="172" spans="1:7" ht="18" customHeight="1" x14ac:dyDescent="0.25">
      <c r="A172" s="27">
        <v>41300</v>
      </c>
      <c r="B172" s="28" t="s">
        <v>43</v>
      </c>
      <c r="C172" s="28" t="s">
        <v>43</v>
      </c>
      <c r="D172" s="29" t="s">
        <v>132</v>
      </c>
      <c r="E172" s="30" t="s">
        <v>257</v>
      </c>
      <c r="F172" s="31" t="s">
        <v>244</v>
      </c>
    </row>
    <row r="173" spans="1:7" ht="18" customHeight="1" x14ac:dyDescent="0.25">
      <c r="A173" s="27">
        <v>41310</v>
      </c>
      <c r="B173" s="28" t="s">
        <v>43</v>
      </c>
      <c r="C173" s="28" t="s">
        <v>43</v>
      </c>
      <c r="D173" s="29" t="s">
        <v>148</v>
      </c>
      <c r="E173" s="30" t="s">
        <v>257</v>
      </c>
      <c r="F173" s="31" t="s">
        <v>244</v>
      </c>
    </row>
    <row r="174" spans="1:7" ht="18" customHeight="1" x14ac:dyDescent="0.25">
      <c r="A174" s="27">
        <v>41400</v>
      </c>
      <c r="B174" s="28" t="s">
        <v>43</v>
      </c>
      <c r="C174" s="28" t="s">
        <v>43</v>
      </c>
      <c r="D174" s="29" t="s">
        <v>139</v>
      </c>
      <c r="E174" s="30" t="s">
        <v>257</v>
      </c>
      <c r="F174" s="31" t="s">
        <v>244</v>
      </c>
    </row>
    <row r="175" spans="1:7" ht="18" customHeight="1" x14ac:dyDescent="0.25">
      <c r="A175" s="27">
        <v>41500</v>
      </c>
      <c r="B175" s="28" t="s">
        <v>43</v>
      </c>
      <c r="C175" s="28" t="s">
        <v>43</v>
      </c>
      <c r="D175" s="29" t="s">
        <v>129</v>
      </c>
      <c r="E175" s="30" t="s">
        <v>257</v>
      </c>
      <c r="F175" s="31" t="s">
        <v>244</v>
      </c>
    </row>
    <row r="176" spans="1:7" ht="18" customHeight="1" x14ac:dyDescent="0.25">
      <c r="A176" s="27">
        <v>41510</v>
      </c>
      <c r="B176" s="28" t="s">
        <v>43</v>
      </c>
      <c r="C176" s="28" t="s">
        <v>43</v>
      </c>
      <c r="D176" s="29" t="s">
        <v>242</v>
      </c>
      <c r="E176" s="30" t="s">
        <v>257</v>
      </c>
      <c r="F176" s="31" t="s">
        <v>244</v>
      </c>
    </row>
    <row r="177" spans="1:8" ht="18" customHeight="1" x14ac:dyDescent="0.25">
      <c r="A177" s="27">
        <v>42100</v>
      </c>
      <c r="B177" s="28" t="s">
        <v>37</v>
      </c>
      <c r="C177" s="28" t="s">
        <v>322</v>
      </c>
      <c r="D177" s="29" t="s">
        <v>326</v>
      </c>
      <c r="E177" s="30"/>
      <c r="F177" s="31"/>
    </row>
    <row r="178" spans="1:8" ht="18" customHeight="1" x14ac:dyDescent="0.25">
      <c r="A178" s="27">
        <v>42110</v>
      </c>
      <c r="B178" s="28" t="s">
        <v>37</v>
      </c>
      <c r="C178" s="29" t="s">
        <v>33</v>
      </c>
      <c r="D178" s="29" t="s">
        <v>33</v>
      </c>
      <c r="E178" s="30" t="s">
        <v>257</v>
      </c>
      <c r="F178" s="31" t="s">
        <v>244</v>
      </c>
    </row>
    <row r="179" spans="1:8" ht="24" customHeight="1" x14ac:dyDescent="0.25">
      <c r="A179" s="27">
        <v>42120</v>
      </c>
      <c r="B179" s="28" t="s">
        <v>37</v>
      </c>
      <c r="C179" s="29" t="s">
        <v>116</v>
      </c>
      <c r="D179" s="29" t="s">
        <v>116</v>
      </c>
      <c r="E179" s="30" t="s">
        <v>257</v>
      </c>
      <c r="F179" s="31" t="s">
        <v>244</v>
      </c>
    </row>
    <row r="180" spans="1:8" ht="18" customHeight="1" x14ac:dyDescent="0.25">
      <c r="A180" s="27">
        <v>42130</v>
      </c>
      <c r="B180" s="28" t="s">
        <v>37</v>
      </c>
      <c r="C180" s="29" t="s">
        <v>9</v>
      </c>
      <c r="D180" s="29" t="s">
        <v>9</v>
      </c>
      <c r="E180" s="30" t="s">
        <v>257</v>
      </c>
      <c r="F180" s="31" t="s">
        <v>244</v>
      </c>
    </row>
    <row r="181" spans="1:8" ht="18" customHeight="1" x14ac:dyDescent="0.25">
      <c r="A181" s="27">
        <v>42140</v>
      </c>
      <c r="B181" s="28" t="s">
        <v>37</v>
      </c>
      <c r="C181" s="29" t="s">
        <v>335</v>
      </c>
      <c r="D181" s="29" t="s">
        <v>335</v>
      </c>
      <c r="E181" s="30" t="s">
        <v>257</v>
      </c>
      <c r="F181" s="31" t="s">
        <v>244</v>
      </c>
    </row>
    <row r="182" spans="1:8" ht="18" customHeight="1" x14ac:dyDescent="0.25">
      <c r="A182" s="27">
        <v>42150</v>
      </c>
      <c r="B182" s="28" t="s">
        <v>37</v>
      </c>
      <c r="C182" s="29" t="s">
        <v>35</v>
      </c>
      <c r="D182" s="29" t="s">
        <v>35</v>
      </c>
      <c r="E182" s="30" t="s">
        <v>257</v>
      </c>
      <c r="F182" s="31" t="s">
        <v>244</v>
      </c>
    </row>
    <row r="183" spans="1:8" ht="18" customHeight="1" x14ac:dyDescent="0.25">
      <c r="A183" s="27">
        <v>42160</v>
      </c>
      <c r="B183" s="28" t="s">
        <v>37</v>
      </c>
      <c r="C183" s="29" t="s">
        <v>221</v>
      </c>
      <c r="D183" s="29" t="s">
        <v>221</v>
      </c>
      <c r="E183" s="30" t="s">
        <v>257</v>
      </c>
      <c r="F183" s="31" t="s">
        <v>244</v>
      </c>
    </row>
    <row r="184" spans="1:8" ht="18" customHeight="1" x14ac:dyDescent="0.25">
      <c r="A184" s="27">
        <v>42170</v>
      </c>
      <c r="B184" s="28" t="s">
        <v>37</v>
      </c>
      <c r="C184" s="29" t="s">
        <v>259</v>
      </c>
      <c r="D184" s="29" t="s">
        <v>259</v>
      </c>
      <c r="E184" s="30" t="s">
        <v>257</v>
      </c>
      <c r="F184" s="31" t="s">
        <v>244</v>
      </c>
    </row>
    <row r="185" spans="1:8" ht="18" customHeight="1" x14ac:dyDescent="0.25">
      <c r="A185" s="27">
        <v>42180</v>
      </c>
      <c r="B185" s="28" t="s">
        <v>37</v>
      </c>
      <c r="C185" s="29" t="s">
        <v>199</v>
      </c>
      <c r="D185" s="29" t="s">
        <v>199</v>
      </c>
      <c r="E185" s="30" t="s">
        <v>257</v>
      </c>
      <c r="F185" s="31" t="s">
        <v>244</v>
      </c>
    </row>
    <row r="186" spans="1:8" ht="18" customHeight="1" x14ac:dyDescent="0.25">
      <c r="A186" s="27">
        <v>42190</v>
      </c>
      <c r="B186" s="28" t="s">
        <v>37</v>
      </c>
      <c r="C186" s="29" t="s">
        <v>134</v>
      </c>
      <c r="D186" s="29" t="s">
        <v>134</v>
      </c>
      <c r="E186" s="30" t="s">
        <v>257</v>
      </c>
      <c r="F186" s="31" t="s">
        <v>244</v>
      </c>
    </row>
    <row r="187" spans="1:8" ht="18" customHeight="1" x14ac:dyDescent="0.25">
      <c r="A187" s="27">
        <v>42200</v>
      </c>
      <c r="B187" s="28" t="s">
        <v>37</v>
      </c>
      <c r="C187" s="29" t="s">
        <v>46</v>
      </c>
      <c r="D187" s="29" t="s">
        <v>46</v>
      </c>
      <c r="E187" s="30" t="s">
        <v>257</v>
      </c>
      <c r="F187" s="31" t="s">
        <v>244</v>
      </c>
    </row>
    <row r="188" spans="1:8" ht="18" customHeight="1" x14ac:dyDescent="0.25">
      <c r="A188" s="72">
        <v>35110</v>
      </c>
      <c r="B188" s="73" t="s">
        <v>34</v>
      </c>
      <c r="C188" s="73" t="s">
        <v>34</v>
      </c>
      <c r="D188" s="74" t="s">
        <v>87</v>
      </c>
      <c r="E188" s="75" t="s">
        <v>257</v>
      </c>
      <c r="F188" s="76" t="s">
        <v>244</v>
      </c>
    </row>
    <row r="189" spans="1:8" ht="18" customHeight="1" x14ac:dyDescent="0.25">
      <c r="A189" s="27">
        <v>45000</v>
      </c>
      <c r="B189" s="28" t="s">
        <v>65</v>
      </c>
      <c r="C189" s="28" t="s">
        <v>65</v>
      </c>
      <c r="D189" s="29"/>
      <c r="E189" s="30" t="s">
        <v>257</v>
      </c>
      <c r="F189" s="31" t="s">
        <v>244</v>
      </c>
      <c r="H189" s="78" t="s">
        <v>284</v>
      </c>
    </row>
    <row r="190" spans="1:8" ht="18" customHeight="1" x14ac:dyDescent="0.25">
      <c r="A190" s="27">
        <v>45100</v>
      </c>
      <c r="B190" s="28" t="s">
        <v>65</v>
      </c>
      <c r="C190" s="28" t="s">
        <v>222</v>
      </c>
      <c r="D190" s="29" t="s">
        <v>222</v>
      </c>
      <c r="E190" s="30" t="s">
        <v>257</v>
      </c>
      <c r="F190" s="31" t="s">
        <v>244</v>
      </c>
      <c r="H190" s="78" t="s">
        <v>284</v>
      </c>
    </row>
    <row r="191" spans="1:8" ht="18" customHeight="1" x14ac:dyDescent="0.25">
      <c r="A191" s="27">
        <v>45200</v>
      </c>
      <c r="B191" s="28" t="s">
        <v>65</v>
      </c>
      <c r="C191" s="28" t="s">
        <v>185</v>
      </c>
      <c r="D191" s="29" t="s">
        <v>185</v>
      </c>
      <c r="E191" s="30" t="s">
        <v>257</v>
      </c>
      <c r="F191" s="31" t="s">
        <v>244</v>
      </c>
      <c r="G191" s="99"/>
      <c r="H191" s="78" t="s">
        <v>284</v>
      </c>
    </row>
    <row r="192" spans="1:8" ht="18" customHeight="1" x14ac:dyDescent="0.25">
      <c r="A192" s="27">
        <v>45900</v>
      </c>
      <c r="B192" s="28" t="s">
        <v>340</v>
      </c>
      <c r="C192" s="28" t="s">
        <v>323</v>
      </c>
      <c r="D192" s="29" t="s">
        <v>328</v>
      </c>
      <c r="E192" s="30" t="s">
        <v>257</v>
      </c>
      <c r="F192" s="31" t="s">
        <v>244</v>
      </c>
      <c r="H192" s="78" t="s">
        <v>284</v>
      </c>
    </row>
    <row r="193" spans="1:8" ht="18" customHeight="1" x14ac:dyDescent="0.25">
      <c r="A193" s="27">
        <v>45910</v>
      </c>
      <c r="B193" s="28" t="s">
        <v>340</v>
      </c>
      <c r="C193" s="28" t="s">
        <v>34</v>
      </c>
      <c r="D193" s="29" t="s">
        <v>314</v>
      </c>
      <c r="E193" s="30" t="s">
        <v>257</v>
      </c>
      <c r="F193" s="31" t="s">
        <v>244</v>
      </c>
      <c r="H193" s="78" t="s">
        <v>284</v>
      </c>
    </row>
    <row r="194" spans="1:8" ht="18" customHeight="1" x14ac:dyDescent="0.25">
      <c r="A194" s="27">
        <v>51000</v>
      </c>
      <c r="B194" s="28" t="s">
        <v>34</v>
      </c>
      <c r="C194" s="28" t="s">
        <v>34</v>
      </c>
      <c r="D194" s="29" t="s">
        <v>13</v>
      </c>
      <c r="E194" s="30" t="s">
        <v>257</v>
      </c>
      <c r="F194" s="31" t="s">
        <v>244</v>
      </c>
    </row>
    <row r="195" spans="1:8" ht="18" customHeight="1" x14ac:dyDescent="0.25">
      <c r="A195" s="27">
        <v>51100</v>
      </c>
      <c r="B195" s="28" t="s">
        <v>34</v>
      </c>
      <c r="C195" s="28" t="s">
        <v>34</v>
      </c>
      <c r="D195" s="29" t="s">
        <v>223</v>
      </c>
      <c r="E195" s="30" t="s">
        <v>257</v>
      </c>
      <c r="F195" s="31" t="s">
        <v>244</v>
      </c>
    </row>
    <row r="196" spans="1:8" ht="18" customHeight="1" x14ac:dyDescent="0.25">
      <c r="A196" s="27">
        <v>51110</v>
      </c>
      <c r="B196" s="28" t="s">
        <v>34</v>
      </c>
      <c r="C196" s="28" t="s">
        <v>34</v>
      </c>
      <c r="D196" s="29" t="s">
        <v>194</v>
      </c>
      <c r="E196" s="30" t="s">
        <v>257</v>
      </c>
      <c r="F196" s="31" t="s">
        <v>244</v>
      </c>
    </row>
    <row r="197" spans="1:8" ht="18" customHeight="1" x14ac:dyDescent="0.25">
      <c r="A197" s="27">
        <v>51120</v>
      </c>
      <c r="B197" s="28" t="s">
        <v>34</v>
      </c>
      <c r="C197" s="28" t="s">
        <v>34</v>
      </c>
      <c r="D197" s="29" t="s">
        <v>198</v>
      </c>
      <c r="E197" s="30" t="s">
        <v>257</v>
      </c>
      <c r="F197" s="31" t="s">
        <v>244</v>
      </c>
    </row>
    <row r="198" spans="1:8" ht="18" customHeight="1" x14ac:dyDescent="0.25">
      <c r="A198" s="27">
        <v>51130</v>
      </c>
      <c r="B198" s="28" t="s">
        <v>34</v>
      </c>
      <c r="C198" s="28" t="s">
        <v>34</v>
      </c>
      <c r="D198" s="29" t="s">
        <v>202</v>
      </c>
      <c r="E198" s="30" t="s">
        <v>257</v>
      </c>
      <c r="F198" s="31" t="s">
        <v>244</v>
      </c>
    </row>
    <row r="199" spans="1:8" ht="18" customHeight="1" x14ac:dyDescent="0.25">
      <c r="A199" s="27">
        <v>51140</v>
      </c>
      <c r="B199" s="28" t="s">
        <v>34</v>
      </c>
      <c r="C199" s="28" t="s">
        <v>34</v>
      </c>
      <c r="D199" s="29" t="s">
        <v>128</v>
      </c>
      <c r="E199" s="30" t="s">
        <v>257</v>
      </c>
      <c r="F199" s="31" t="s">
        <v>244</v>
      </c>
    </row>
    <row r="200" spans="1:8" ht="18" customHeight="1" x14ac:dyDescent="0.25">
      <c r="A200" s="27">
        <v>51150</v>
      </c>
      <c r="B200" s="28" t="s">
        <v>34</v>
      </c>
      <c r="C200" s="28" t="s">
        <v>34</v>
      </c>
      <c r="D200" s="29" t="s">
        <v>5</v>
      </c>
      <c r="E200" s="30" t="s">
        <v>257</v>
      </c>
      <c r="F200" s="31" t="s">
        <v>244</v>
      </c>
    </row>
    <row r="201" spans="1:8" ht="18" customHeight="1" x14ac:dyDescent="0.25">
      <c r="A201" s="27">
        <v>51200</v>
      </c>
      <c r="B201" s="28" t="s">
        <v>34</v>
      </c>
      <c r="C201" s="28" t="s">
        <v>34</v>
      </c>
      <c r="D201" s="29" t="s">
        <v>179</v>
      </c>
      <c r="E201" s="30" t="s">
        <v>257</v>
      </c>
      <c r="F201" s="31" t="s">
        <v>244</v>
      </c>
    </row>
    <row r="202" spans="1:8" ht="18" customHeight="1" x14ac:dyDescent="0.25">
      <c r="A202" s="27">
        <v>51210</v>
      </c>
      <c r="B202" s="28" t="s">
        <v>34</v>
      </c>
      <c r="C202" s="28" t="s">
        <v>34</v>
      </c>
      <c r="D202" s="29" t="s">
        <v>110</v>
      </c>
      <c r="E202" s="30" t="s">
        <v>257</v>
      </c>
      <c r="F202" s="31" t="s">
        <v>244</v>
      </c>
      <c r="H202" s="78" t="s">
        <v>358</v>
      </c>
    </row>
    <row r="203" spans="1:8" ht="18" customHeight="1" x14ac:dyDescent="0.25">
      <c r="A203" s="27">
        <v>51220</v>
      </c>
      <c r="B203" s="28" t="s">
        <v>34</v>
      </c>
      <c r="C203" s="28" t="s">
        <v>34</v>
      </c>
      <c r="D203" s="29" t="s">
        <v>109</v>
      </c>
      <c r="E203" s="30" t="s">
        <v>257</v>
      </c>
      <c r="F203" s="31" t="s">
        <v>244</v>
      </c>
      <c r="H203" s="78" t="s">
        <v>358</v>
      </c>
    </row>
    <row r="204" spans="1:8" ht="18" customHeight="1" x14ac:dyDescent="0.25">
      <c r="A204" s="27">
        <v>51230</v>
      </c>
      <c r="B204" s="28" t="s">
        <v>34</v>
      </c>
      <c r="C204" s="28" t="s">
        <v>34</v>
      </c>
      <c r="D204" s="29" t="s">
        <v>120</v>
      </c>
      <c r="E204" s="30" t="s">
        <v>257</v>
      </c>
      <c r="F204" s="31" t="s">
        <v>244</v>
      </c>
      <c r="H204" s="78" t="s">
        <v>358</v>
      </c>
    </row>
    <row r="205" spans="1:8" ht="18" customHeight="1" x14ac:dyDescent="0.25">
      <c r="A205" s="27">
        <v>51235</v>
      </c>
      <c r="B205" s="28" t="s">
        <v>34</v>
      </c>
      <c r="C205" s="28" t="s">
        <v>34</v>
      </c>
      <c r="D205" s="29" t="s">
        <v>146</v>
      </c>
      <c r="E205" s="30" t="s">
        <v>257</v>
      </c>
      <c r="F205" s="31" t="s">
        <v>244</v>
      </c>
    </row>
    <row r="206" spans="1:8" ht="18" customHeight="1" x14ac:dyDescent="0.25">
      <c r="A206" s="27">
        <v>51240</v>
      </c>
      <c r="B206" s="28" t="s">
        <v>34</v>
      </c>
      <c r="C206" s="28" t="s">
        <v>34</v>
      </c>
      <c r="D206" s="29" t="s">
        <v>180</v>
      </c>
      <c r="E206" s="30" t="s">
        <v>257</v>
      </c>
      <c r="F206" s="31" t="s">
        <v>244</v>
      </c>
    </row>
    <row r="207" spans="1:8" ht="18" customHeight="1" x14ac:dyDescent="0.25">
      <c r="A207" s="27">
        <v>51250</v>
      </c>
      <c r="B207" s="28" t="s">
        <v>34</v>
      </c>
      <c r="C207" s="28" t="s">
        <v>34</v>
      </c>
      <c r="D207" s="29" t="s">
        <v>181</v>
      </c>
      <c r="E207" s="30" t="s">
        <v>257</v>
      </c>
      <c r="F207" s="31" t="s">
        <v>244</v>
      </c>
    </row>
    <row r="208" spans="1:8" ht="18" customHeight="1" x14ac:dyDescent="0.25">
      <c r="A208" s="27">
        <v>51300</v>
      </c>
      <c r="B208" s="28" t="s">
        <v>34</v>
      </c>
      <c r="C208" s="28" t="s">
        <v>34</v>
      </c>
      <c r="D208" s="29" t="s">
        <v>159</v>
      </c>
      <c r="E208" s="30" t="s">
        <v>257</v>
      </c>
      <c r="F208" s="31" t="s">
        <v>244</v>
      </c>
    </row>
    <row r="209" spans="1:8" ht="18" customHeight="1" x14ac:dyDescent="0.25">
      <c r="A209" s="27">
        <v>51400</v>
      </c>
      <c r="B209" s="28" t="s">
        <v>34</v>
      </c>
      <c r="C209" s="28" t="s">
        <v>34</v>
      </c>
      <c r="D209" s="29" t="s">
        <v>125</v>
      </c>
      <c r="E209" s="30" t="s">
        <v>257</v>
      </c>
      <c r="F209" s="31" t="s">
        <v>244</v>
      </c>
    </row>
    <row r="210" spans="1:8" ht="18" customHeight="1" x14ac:dyDescent="0.25">
      <c r="A210" s="27">
        <v>51500</v>
      </c>
      <c r="B210" s="28" t="s">
        <v>34</v>
      </c>
      <c r="C210" s="28" t="s">
        <v>34</v>
      </c>
      <c r="D210" s="29" t="s">
        <v>59</v>
      </c>
      <c r="E210" s="30" t="s">
        <v>257</v>
      </c>
      <c r="F210" s="31" t="s">
        <v>244</v>
      </c>
    </row>
    <row r="211" spans="1:8" ht="18" customHeight="1" x14ac:dyDescent="0.25">
      <c r="A211" s="27">
        <v>51510</v>
      </c>
      <c r="B211" s="28" t="s">
        <v>34</v>
      </c>
      <c r="C211" s="28" t="s">
        <v>34</v>
      </c>
      <c r="D211" s="29" t="s">
        <v>126</v>
      </c>
      <c r="E211" s="30" t="s">
        <v>257</v>
      </c>
      <c r="F211" s="31" t="s">
        <v>244</v>
      </c>
    </row>
    <row r="212" spans="1:8" ht="18" customHeight="1" x14ac:dyDescent="0.25">
      <c r="A212" s="27">
        <v>51520</v>
      </c>
      <c r="B212" s="28" t="s">
        <v>34</v>
      </c>
      <c r="C212" s="28" t="s">
        <v>34</v>
      </c>
      <c r="D212" s="29" t="s">
        <v>111</v>
      </c>
      <c r="E212" s="30" t="s">
        <v>257</v>
      </c>
      <c r="F212" s="31" t="s">
        <v>244</v>
      </c>
      <c r="H212" s="78" t="s">
        <v>358</v>
      </c>
    </row>
    <row r="213" spans="1:8" ht="18" customHeight="1" x14ac:dyDescent="0.25">
      <c r="A213" s="27">
        <v>51600</v>
      </c>
      <c r="B213" s="28" t="s">
        <v>34</v>
      </c>
      <c r="C213" s="28" t="s">
        <v>34</v>
      </c>
      <c r="D213" s="29" t="s">
        <v>104</v>
      </c>
      <c r="E213" s="30" t="s">
        <v>257</v>
      </c>
      <c r="F213" s="31" t="s">
        <v>244</v>
      </c>
    </row>
    <row r="214" spans="1:8" ht="18" customHeight="1" x14ac:dyDescent="0.25">
      <c r="A214" s="27">
        <v>51610</v>
      </c>
      <c r="B214" s="28" t="s">
        <v>34</v>
      </c>
      <c r="C214" s="28" t="s">
        <v>34</v>
      </c>
      <c r="D214" s="29" t="s">
        <v>211</v>
      </c>
      <c r="E214" s="30" t="s">
        <v>257</v>
      </c>
      <c r="F214" s="31" t="s">
        <v>244</v>
      </c>
    </row>
    <row r="215" spans="1:8" ht="18" customHeight="1" x14ac:dyDescent="0.25">
      <c r="A215" s="27">
        <v>51620</v>
      </c>
      <c r="B215" s="28" t="s">
        <v>34</v>
      </c>
      <c r="C215" s="28" t="s">
        <v>34</v>
      </c>
      <c r="D215" s="29" t="s">
        <v>213</v>
      </c>
      <c r="E215" s="30" t="s">
        <v>257</v>
      </c>
      <c r="F215" s="31" t="s">
        <v>244</v>
      </c>
    </row>
    <row r="216" spans="1:8" ht="18" customHeight="1" x14ac:dyDescent="0.25">
      <c r="A216" s="55">
        <v>51630</v>
      </c>
      <c r="B216" s="56" t="s">
        <v>34</v>
      </c>
      <c r="C216" s="56" t="s">
        <v>34</v>
      </c>
      <c r="D216" s="57" t="s">
        <v>182</v>
      </c>
      <c r="E216" s="58" t="s">
        <v>258</v>
      </c>
      <c r="F216" s="59" t="s">
        <v>244</v>
      </c>
      <c r="H216" t="s">
        <v>359</v>
      </c>
    </row>
    <row r="217" spans="1:8" ht="18" customHeight="1" x14ac:dyDescent="0.25">
      <c r="A217" s="55">
        <v>51640</v>
      </c>
      <c r="B217" s="56" t="s">
        <v>34</v>
      </c>
      <c r="C217" s="56" t="s">
        <v>34</v>
      </c>
      <c r="D217" s="57" t="s">
        <v>218</v>
      </c>
      <c r="E217" s="58" t="s">
        <v>258</v>
      </c>
      <c r="F217" s="59" t="s">
        <v>244</v>
      </c>
      <c r="H217" t="s">
        <v>360</v>
      </c>
    </row>
    <row r="218" spans="1:8" ht="18" customHeight="1" x14ac:dyDescent="0.25">
      <c r="A218" s="55">
        <v>51650</v>
      </c>
      <c r="B218" s="56" t="s">
        <v>387</v>
      </c>
      <c r="C218" s="56" t="s">
        <v>387</v>
      </c>
      <c r="D218" s="57" t="s">
        <v>388</v>
      </c>
      <c r="E218" s="58" t="s">
        <v>362</v>
      </c>
      <c r="F218" s="59" t="s">
        <v>389</v>
      </c>
      <c r="H218" t="s">
        <v>376</v>
      </c>
    </row>
    <row r="219" spans="1:8" ht="18" customHeight="1" x14ac:dyDescent="0.25">
      <c r="A219" s="27">
        <v>51700</v>
      </c>
      <c r="B219" s="28" t="s">
        <v>34</v>
      </c>
      <c r="C219" s="28" t="s">
        <v>34</v>
      </c>
      <c r="D219" s="29" t="s">
        <v>11</v>
      </c>
      <c r="E219" s="30" t="s">
        <v>257</v>
      </c>
      <c r="F219" s="31" t="s">
        <v>244</v>
      </c>
    </row>
    <row r="220" spans="1:8" ht="18" customHeight="1" x14ac:dyDescent="0.25">
      <c r="A220" s="55">
        <v>51710</v>
      </c>
      <c r="B220" s="28" t="s">
        <v>34</v>
      </c>
      <c r="C220" s="28" t="s">
        <v>34</v>
      </c>
      <c r="D220" s="29" t="s">
        <v>78</v>
      </c>
      <c r="E220" s="30" t="s">
        <v>257</v>
      </c>
      <c r="F220" s="31" t="s">
        <v>244</v>
      </c>
      <c r="H220" t="s">
        <v>361</v>
      </c>
    </row>
    <row r="221" spans="1:8" ht="18" customHeight="1" x14ac:dyDescent="0.25">
      <c r="A221" s="27">
        <v>99990</v>
      </c>
      <c r="B221" s="28" t="s">
        <v>260</v>
      </c>
      <c r="C221" s="28" t="s">
        <v>260</v>
      </c>
      <c r="D221" s="46" t="s">
        <v>347</v>
      </c>
      <c r="E221" s="30" t="s">
        <v>257</v>
      </c>
      <c r="F221" s="31" t="s">
        <v>244</v>
      </c>
    </row>
    <row r="222" spans="1:8" ht="18" customHeight="1" x14ac:dyDescent="0.25">
      <c r="A222" s="27">
        <v>60000</v>
      </c>
      <c r="B222" s="28" t="s">
        <v>245</v>
      </c>
      <c r="C222" s="28" t="s">
        <v>245</v>
      </c>
      <c r="D222" s="29" t="s">
        <v>342</v>
      </c>
      <c r="E222" s="30"/>
      <c r="F222" s="31"/>
    </row>
    <row r="223" spans="1:8" ht="18" customHeight="1" x14ac:dyDescent="0.25">
      <c r="A223" s="27">
        <v>60100</v>
      </c>
      <c r="B223" s="28" t="s">
        <v>245</v>
      </c>
      <c r="C223" s="28" t="s">
        <v>245</v>
      </c>
      <c r="D223" s="29" t="s">
        <v>183</v>
      </c>
      <c r="E223" s="30" t="s">
        <v>257</v>
      </c>
      <c r="F223" s="31" t="s">
        <v>245</v>
      </c>
    </row>
    <row r="224" spans="1:8" ht="18" customHeight="1" x14ac:dyDescent="0.25">
      <c r="A224" s="27">
        <v>60200</v>
      </c>
      <c r="B224" s="28" t="s">
        <v>245</v>
      </c>
      <c r="C224" s="28" t="s">
        <v>245</v>
      </c>
      <c r="D224" s="29" t="s">
        <v>184</v>
      </c>
      <c r="E224" s="30" t="s">
        <v>257</v>
      </c>
      <c r="F224" s="31" t="s">
        <v>245</v>
      </c>
    </row>
    <row r="225" spans="1:9" ht="18" customHeight="1" x14ac:dyDescent="0.25">
      <c r="A225" s="27">
        <v>60300</v>
      </c>
      <c r="B225" s="28" t="s">
        <v>245</v>
      </c>
      <c r="C225" s="28" t="s">
        <v>245</v>
      </c>
      <c r="D225" s="29" t="s">
        <v>336</v>
      </c>
      <c r="E225" s="30" t="s">
        <v>257</v>
      </c>
      <c r="F225" s="31" t="s">
        <v>245</v>
      </c>
    </row>
    <row r="226" spans="1:9" ht="18" customHeight="1" x14ac:dyDescent="0.25">
      <c r="A226" s="27">
        <v>60400</v>
      </c>
      <c r="B226" s="28" t="s">
        <v>245</v>
      </c>
      <c r="C226" s="28" t="s">
        <v>245</v>
      </c>
      <c r="D226" s="29" t="s">
        <v>186</v>
      </c>
      <c r="E226" s="30" t="s">
        <v>257</v>
      </c>
      <c r="F226" s="31" t="s">
        <v>245</v>
      </c>
    </row>
    <row r="227" spans="1:9" ht="18" customHeight="1" x14ac:dyDescent="0.25">
      <c r="A227" s="27">
        <v>60500</v>
      </c>
      <c r="B227" s="28" t="s">
        <v>245</v>
      </c>
      <c r="C227" s="28" t="s">
        <v>245</v>
      </c>
      <c r="D227" s="29" t="s">
        <v>217</v>
      </c>
      <c r="E227" s="30" t="s">
        <v>257</v>
      </c>
      <c r="F227" s="31" t="s">
        <v>245</v>
      </c>
    </row>
    <row r="228" spans="1:9" ht="18" customHeight="1" x14ac:dyDescent="0.25">
      <c r="A228" s="27">
        <v>61000</v>
      </c>
      <c r="B228" s="28" t="s">
        <v>245</v>
      </c>
      <c r="C228" s="28" t="s">
        <v>261</v>
      </c>
      <c r="D228" s="29" t="s">
        <v>104</v>
      </c>
      <c r="E228" s="30" t="s">
        <v>257</v>
      </c>
      <c r="F228" s="31" t="s">
        <v>245</v>
      </c>
    </row>
    <row r="229" spans="1:9" ht="18" customHeight="1" x14ac:dyDescent="0.25">
      <c r="A229" s="27">
        <v>61010</v>
      </c>
      <c r="B229" s="28" t="s">
        <v>245</v>
      </c>
      <c r="C229" s="28" t="s">
        <v>245</v>
      </c>
      <c r="D229" s="29" t="s">
        <v>187</v>
      </c>
      <c r="E229" s="30" t="s">
        <v>257</v>
      </c>
      <c r="F229" s="31" t="s">
        <v>245</v>
      </c>
    </row>
    <row r="230" spans="1:9" ht="18" customHeight="1" x14ac:dyDescent="0.25">
      <c r="A230" s="27">
        <v>61020</v>
      </c>
      <c r="B230" s="28" t="s">
        <v>245</v>
      </c>
      <c r="C230" s="28" t="s">
        <v>245</v>
      </c>
      <c r="D230" s="29" t="s">
        <v>216</v>
      </c>
      <c r="E230" s="30" t="s">
        <v>257</v>
      </c>
      <c r="F230" s="31" t="s">
        <v>245</v>
      </c>
    </row>
    <row r="231" spans="1:9" ht="18" customHeight="1" x14ac:dyDescent="0.25">
      <c r="A231" s="55">
        <v>61030</v>
      </c>
      <c r="B231" s="56" t="s">
        <v>245</v>
      </c>
      <c r="C231" s="56" t="s">
        <v>245</v>
      </c>
      <c r="D231" s="57" t="s">
        <v>188</v>
      </c>
      <c r="E231" s="58" t="s">
        <v>257</v>
      </c>
      <c r="F231" s="59" t="s">
        <v>245</v>
      </c>
      <c r="H231" t="s">
        <v>359</v>
      </c>
      <c r="I231" t="s">
        <v>279</v>
      </c>
    </row>
    <row r="232" spans="1:9" ht="18" customHeight="1" x14ac:dyDescent="0.25">
      <c r="A232" s="27">
        <v>62000</v>
      </c>
      <c r="B232" s="28" t="s">
        <v>245</v>
      </c>
      <c r="C232" s="28" t="s">
        <v>245</v>
      </c>
      <c r="D232" s="29" t="s">
        <v>332</v>
      </c>
      <c r="E232" s="30" t="s">
        <v>257</v>
      </c>
      <c r="F232" s="31" t="s">
        <v>245</v>
      </c>
      <c r="H232" t="s">
        <v>356</v>
      </c>
    </row>
    <row r="233" spans="1:9" ht="18" customHeight="1" x14ac:dyDescent="0.25">
      <c r="A233" s="27">
        <v>62100</v>
      </c>
      <c r="B233" s="28" t="s">
        <v>245</v>
      </c>
      <c r="C233" s="28" t="s">
        <v>245</v>
      </c>
      <c r="D233" s="29" t="s">
        <v>329</v>
      </c>
      <c r="E233" s="30" t="s">
        <v>257</v>
      </c>
      <c r="F233" s="31" t="s">
        <v>245</v>
      </c>
      <c r="H233" t="s">
        <v>356</v>
      </c>
    </row>
    <row r="234" spans="1:9" ht="18" customHeight="1" x14ac:dyDescent="0.25">
      <c r="A234" s="27">
        <v>62200</v>
      </c>
      <c r="B234" s="28" t="s">
        <v>245</v>
      </c>
      <c r="C234" s="28" t="s">
        <v>245</v>
      </c>
      <c r="D234" s="29" t="s">
        <v>245</v>
      </c>
      <c r="E234" s="30" t="s">
        <v>257</v>
      </c>
      <c r="F234" s="31" t="s">
        <v>245</v>
      </c>
      <c r="H234" t="s">
        <v>356</v>
      </c>
    </row>
    <row r="235" spans="1:9" ht="18" customHeight="1" x14ac:dyDescent="0.25">
      <c r="A235" s="27">
        <v>62300</v>
      </c>
      <c r="B235" s="28" t="s">
        <v>245</v>
      </c>
      <c r="C235" s="28" t="s">
        <v>245</v>
      </c>
      <c r="D235" s="29" t="s">
        <v>344</v>
      </c>
      <c r="E235" s="30" t="s">
        <v>257</v>
      </c>
      <c r="F235" s="31" t="s">
        <v>245</v>
      </c>
      <c r="H235" t="s">
        <v>356</v>
      </c>
      <c r="I235" t="s">
        <v>279</v>
      </c>
    </row>
    <row r="236" spans="1:9" ht="18" customHeight="1" x14ac:dyDescent="0.25">
      <c r="A236" s="27">
        <v>62400</v>
      </c>
      <c r="B236" s="28" t="s">
        <v>245</v>
      </c>
      <c r="C236" s="28" t="s">
        <v>245</v>
      </c>
      <c r="D236" s="29" t="s">
        <v>189</v>
      </c>
      <c r="E236" s="30" t="s">
        <v>257</v>
      </c>
      <c r="F236" s="31" t="s">
        <v>245</v>
      </c>
      <c r="H236" t="s">
        <v>357</v>
      </c>
    </row>
    <row r="237" spans="1:9" ht="18" customHeight="1" x14ac:dyDescent="0.25">
      <c r="A237" s="27">
        <v>62500</v>
      </c>
      <c r="B237" s="28" t="s">
        <v>245</v>
      </c>
      <c r="C237" s="28" t="s">
        <v>245</v>
      </c>
      <c r="D237" s="29" t="s">
        <v>192</v>
      </c>
      <c r="E237" s="30" t="s">
        <v>257</v>
      </c>
      <c r="F237" s="31" t="s">
        <v>245</v>
      </c>
      <c r="H237" t="s">
        <v>357</v>
      </c>
    </row>
    <row r="238" spans="1:9" ht="18" customHeight="1" x14ac:dyDescent="0.25">
      <c r="A238" s="101">
        <v>62600</v>
      </c>
      <c r="B238" s="102" t="s">
        <v>245</v>
      </c>
      <c r="C238" s="102" t="s">
        <v>245</v>
      </c>
      <c r="D238" s="103" t="s">
        <v>368</v>
      </c>
      <c r="E238" s="104" t="s">
        <v>362</v>
      </c>
      <c r="F238" s="105" t="s">
        <v>363</v>
      </c>
      <c r="G238" s="106"/>
      <c r="H238" s="106" t="s">
        <v>357</v>
      </c>
    </row>
    <row r="239" spans="1:9" ht="18" customHeight="1" x14ac:dyDescent="0.25">
      <c r="A239" s="101">
        <v>62700</v>
      </c>
      <c r="B239" s="102" t="s">
        <v>245</v>
      </c>
      <c r="C239" s="102" t="s">
        <v>245</v>
      </c>
      <c r="D239" s="103" t="s">
        <v>366</v>
      </c>
      <c r="E239" s="104" t="s">
        <v>362</v>
      </c>
      <c r="F239" s="105" t="s">
        <v>363</v>
      </c>
      <c r="G239" s="106"/>
      <c r="H239" s="106" t="s">
        <v>357</v>
      </c>
    </row>
    <row r="240" spans="1:9" ht="18" customHeight="1" x14ac:dyDescent="0.25">
      <c r="A240" s="101">
        <v>62800</v>
      </c>
      <c r="B240" s="102" t="s">
        <v>245</v>
      </c>
      <c r="C240" s="102" t="s">
        <v>245</v>
      </c>
      <c r="D240" s="103" t="s">
        <v>367</v>
      </c>
      <c r="E240" s="104" t="s">
        <v>362</v>
      </c>
      <c r="F240" s="105" t="s">
        <v>363</v>
      </c>
      <c r="G240" s="106"/>
      <c r="H240" s="106" t="s">
        <v>357</v>
      </c>
    </row>
    <row r="241" spans="1:8" ht="18" customHeight="1" x14ac:dyDescent="0.25">
      <c r="A241" s="101">
        <v>62900</v>
      </c>
      <c r="B241" s="102" t="s">
        <v>411</v>
      </c>
      <c r="C241" s="102" t="s">
        <v>370</v>
      </c>
      <c r="D241" s="103" t="s">
        <v>375</v>
      </c>
      <c r="E241" s="104" t="s">
        <v>362</v>
      </c>
      <c r="F241" s="105" t="s">
        <v>363</v>
      </c>
      <c r="G241" s="106"/>
      <c r="H241" s="106" t="s">
        <v>376</v>
      </c>
    </row>
    <row r="242" spans="1:8" ht="18" customHeight="1" x14ac:dyDescent="0.25">
      <c r="A242" s="101">
        <v>63000</v>
      </c>
      <c r="B242" s="102" t="s">
        <v>363</v>
      </c>
      <c r="C242" s="102" t="s">
        <v>380</v>
      </c>
      <c r="D242" s="103" t="s">
        <v>381</v>
      </c>
      <c r="E242" s="104" t="s">
        <v>362</v>
      </c>
      <c r="F242" s="105" t="s">
        <v>363</v>
      </c>
      <c r="G242" s="106"/>
      <c r="H242" s="106" t="s">
        <v>376</v>
      </c>
    </row>
    <row r="243" spans="1:8" ht="18" customHeight="1" x14ac:dyDescent="0.25">
      <c r="A243" s="27">
        <v>70000</v>
      </c>
      <c r="B243" s="28" t="s">
        <v>60</v>
      </c>
      <c r="C243" s="28" t="s">
        <v>203</v>
      </c>
      <c r="D243" s="29"/>
      <c r="E243" s="30" t="s">
        <v>257</v>
      </c>
      <c r="F243" s="31" t="s">
        <v>311</v>
      </c>
    </row>
    <row r="244" spans="1:8" ht="18" customHeight="1" x14ac:dyDescent="0.25">
      <c r="A244" s="27">
        <v>70010</v>
      </c>
      <c r="B244" s="28" t="s">
        <v>60</v>
      </c>
      <c r="C244" s="28" t="s">
        <v>34</v>
      </c>
      <c r="D244" s="29"/>
      <c r="E244" s="30" t="s">
        <v>257</v>
      </c>
      <c r="F244" s="31" t="s">
        <v>311</v>
      </c>
      <c r="H244" t="s">
        <v>353</v>
      </c>
    </row>
    <row r="245" spans="1:8" ht="18" customHeight="1" x14ac:dyDescent="0.25">
      <c r="A245" s="27">
        <v>70100</v>
      </c>
      <c r="B245" s="28" t="s">
        <v>60</v>
      </c>
      <c r="C245" s="28" t="s">
        <v>203</v>
      </c>
      <c r="D245" s="29" t="s">
        <v>26</v>
      </c>
      <c r="E245" s="30" t="s">
        <v>257</v>
      </c>
      <c r="F245" s="31" t="s">
        <v>311</v>
      </c>
    </row>
    <row r="246" spans="1:8" ht="18" customHeight="1" x14ac:dyDescent="0.25">
      <c r="A246" s="27">
        <v>70110</v>
      </c>
      <c r="B246" s="28" t="s">
        <v>60</v>
      </c>
      <c r="C246" s="28" t="s">
        <v>203</v>
      </c>
      <c r="D246" s="29" t="s">
        <v>25</v>
      </c>
      <c r="E246" s="30" t="s">
        <v>257</v>
      </c>
      <c r="F246" s="31" t="s">
        <v>311</v>
      </c>
    </row>
    <row r="247" spans="1:8" ht="18" customHeight="1" x14ac:dyDescent="0.25">
      <c r="A247" s="27">
        <v>70200</v>
      </c>
      <c r="B247" s="28" t="s">
        <v>60</v>
      </c>
      <c r="C247" s="28" t="s">
        <v>203</v>
      </c>
      <c r="D247" s="29" t="s">
        <v>27</v>
      </c>
      <c r="E247" s="30" t="s">
        <v>257</v>
      </c>
      <c r="F247" s="31" t="s">
        <v>311</v>
      </c>
    </row>
    <row r="248" spans="1:8" ht="18" customHeight="1" x14ac:dyDescent="0.25">
      <c r="A248" s="27">
        <v>70210</v>
      </c>
      <c r="B248" s="28" t="s">
        <v>60</v>
      </c>
      <c r="C248" s="28" t="s">
        <v>203</v>
      </c>
      <c r="D248" s="29" t="s">
        <v>19</v>
      </c>
      <c r="E248" s="30" t="s">
        <v>257</v>
      </c>
      <c r="F248" s="31" t="s">
        <v>311</v>
      </c>
    </row>
    <row r="249" spans="1:8" ht="18" customHeight="1" x14ac:dyDescent="0.25">
      <c r="A249" s="27">
        <v>70300</v>
      </c>
      <c r="B249" s="28" t="s">
        <v>60</v>
      </c>
      <c r="C249" s="28" t="s">
        <v>203</v>
      </c>
      <c r="D249" s="29" t="s">
        <v>14</v>
      </c>
      <c r="E249" s="30" t="s">
        <v>257</v>
      </c>
      <c r="F249" s="31" t="s">
        <v>311</v>
      </c>
    </row>
    <row r="250" spans="1:8" ht="18" customHeight="1" x14ac:dyDescent="0.25">
      <c r="A250" s="27">
        <v>70310</v>
      </c>
      <c r="B250" s="28" t="s">
        <v>60</v>
      </c>
      <c r="C250" s="28" t="s">
        <v>203</v>
      </c>
      <c r="D250" s="29" t="s">
        <v>21</v>
      </c>
      <c r="E250" s="30" t="s">
        <v>257</v>
      </c>
      <c r="F250" s="31" t="s">
        <v>311</v>
      </c>
    </row>
    <row r="251" spans="1:8" ht="18" customHeight="1" x14ac:dyDescent="0.25">
      <c r="A251" s="27">
        <v>70400</v>
      </c>
      <c r="B251" s="28" t="s">
        <v>60</v>
      </c>
      <c r="C251" s="28" t="s">
        <v>262</v>
      </c>
      <c r="D251" s="29" t="s">
        <v>103</v>
      </c>
      <c r="E251" s="30" t="s">
        <v>257</v>
      </c>
      <c r="F251" s="31" t="s">
        <v>311</v>
      </c>
    </row>
    <row r="252" spans="1:8" ht="18" customHeight="1" x14ac:dyDescent="0.25">
      <c r="A252" s="27">
        <v>70410</v>
      </c>
      <c r="B252" s="28" t="s">
        <v>60</v>
      </c>
      <c r="C252" s="28" t="s">
        <v>262</v>
      </c>
      <c r="D252" s="29" t="s">
        <v>108</v>
      </c>
      <c r="E252" s="30" t="s">
        <v>257</v>
      </c>
      <c r="F252" s="31" t="s">
        <v>311</v>
      </c>
    </row>
    <row r="253" spans="1:8" ht="18" customHeight="1" x14ac:dyDescent="0.25">
      <c r="A253" s="27">
        <v>70420</v>
      </c>
      <c r="B253" s="28" t="s">
        <v>60</v>
      </c>
      <c r="C253" s="28" t="s">
        <v>117</v>
      </c>
      <c r="D253" s="29" t="s">
        <v>117</v>
      </c>
      <c r="E253" s="30" t="s">
        <v>257</v>
      </c>
      <c r="F253" s="31" t="s">
        <v>311</v>
      </c>
    </row>
    <row r="254" spans="1:8" ht="18" customHeight="1" x14ac:dyDescent="0.25">
      <c r="A254" s="27">
        <v>70429</v>
      </c>
      <c r="B254" s="28" t="s">
        <v>60</v>
      </c>
      <c r="C254" s="28" t="s">
        <v>338</v>
      </c>
      <c r="D254" s="29" t="s">
        <v>113</v>
      </c>
      <c r="E254" s="30" t="s">
        <v>257</v>
      </c>
      <c r="F254" s="31" t="s">
        <v>311</v>
      </c>
      <c r="H254" t="s">
        <v>284</v>
      </c>
    </row>
    <row r="255" spans="1:8" ht="18" customHeight="1" x14ac:dyDescent="0.25">
      <c r="A255" s="27">
        <v>70500</v>
      </c>
      <c r="B255" s="28" t="s">
        <v>60</v>
      </c>
      <c r="C255" s="28" t="s">
        <v>346</v>
      </c>
      <c r="D255" s="29" t="s">
        <v>196</v>
      </c>
      <c r="E255" s="30" t="s">
        <v>257</v>
      </c>
      <c r="F255" s="31" t="s">
        <v>311</v>
      </c>
    </row>
    <row r="256" spans="1:8" ht="18" customHeight="1" x14ac:dyDescent="0.25">
      <c r="A256" s="27">
        <v>71000</v>
      </c>
      <c r="B256" s="28" t="s">
        <v>60</v>
      </c>
      <c r="C256" s="28" t="s">
        <v>261</v>
      </c>
      <c r="D256" s="29" t="s">
        <v>104</v>
      </c>
      <c r="E256" s="30" t="s">
        <v>257</v>
      </c>
      <c r="F256" s="31" t="s">
        <v>311</v>
      </c>
    </row>
    <row r="257" spans="1:6" ht="18" customHeight="1" x14ac:dyDescent="0.25">
      <c r="A257" s="27">
        <v>71010</v>
      </c>
      <c r="B257" s="28" t="s">
        <v>60</v>
      </c>
      <c r="C257" s="28" t="s">
        <v>60</v>
      </c>
      <c r="D257" s="29" t="s">
        <v>219</v>
      </c>
      <c r="E257" s="30" t="s">
        <v>257</v>
      </c>
      <c r="F257" s="31" t="s">
        <v>311</v>
      </c>
    </row>
    <row r="258" spans="1:6" ht="18" customHeight="1" x14ac:dyDescent="0.25">
      <c r="A258" s="32">
        <v>71020</v>
      </c>
      <c r="B258" s="33" t="s">
        <v>60</v>
      </c>
      <c r="C258" s="33" t="s">
        <v>60</v>
      </c>
      <c r="D258" s="34" t="s">
        <v>209</v>
      </c>
      <c r="E258" s="35" t="s">
        <v>257</v>
      </c>
      <c r="F258" s="36" t="s">
        <v>311</v>
      </c>
    </row>
    <row r="259" spans="1:6" ht="18" customHeight="1" x14ac:dyDescent="0.25">
      <c r="A259" s="32">
        <v>90000</v>
      </c>
      <c r="B259" s="33" t="s">
        <v>101</v>
      </c>
      <c r="C259" s="33" t="s">
        <v>349</v>
      </c>
      <c r="D259" s="34" t="s">
        <v>101</v>
      </c>
      <c r="E259" s="35" t="s">
        <v>257</v>
      </c>
      <c r="F259" s="36"/>
    </row>
  </sheetData>
  <phoneticPr fontId="19" type="noConversion"/>
  <pageMargins left="0.7086111307144165" right="0.7086111307144165" top="0.74750000238418579" bottom="0.74750000238418579" header="0.31486111879348755" footer="0.31486111879348755"/>
  <pageSetup paperSize="9" orientation="portrait" r:id="rId1"/>
  <headerFooter alignWithMargins="0">
    <oddFooter>&amp;C&amp;"맑은 고딕,Regular"&amp;N페이지 중 &amp;P페이지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7"/>
  <sheetViews>
    <sheetView zoomScaleNormal="100" zoomScaleSheetLayoutView="75" workbookViewId="0">
      <selection activeCell="G26" sqref="G26"/>
    </sheetView>
  </sheetViews>
  <sheetFormatPr defaultColWidth="8.8984375" defaultRowHeight="15.6" x14ac:dyDescent="0.25"/>
  <cols>
    <col min="1" max="16384" width="8.8984375" style="1"/>
  </cols>
  <sheetData>
    <row r="1" spans="1:1" x14ac:dyDescent="0.25">
      <c r="A1" s="1" t="s">
        <v>206</v>
      </c>
    </row>
    <row r="3" spans="1:1" x14ac:dyDescent="0.25">
      <c r="A3" s="1" t="s">
        <v>271</v>
      </c>
    </row>
    <row r="4" spans="1:1" x14ac:dyDescent="0.25">
      <c r="A4" s="1" t="s">
        <v>350</v>
      </c>
    </row>
    <row r="5" spans="1:1" x14ac:dyDescent="0.25">
      <c r="A5" s="1" t="s">
        <v>263</v>
      </c>
    </row>
    <row r="6" spans="1:1" x14ac:dyDescent="0.25">
      <c r="A6" s="1" t="s">
        <v>70</v>
      </c>
    </row>
    <row r="7" spans="1:1" x14ac:dyDescent="0.25">
      <c r="A7" s="1" t="s">
        <v>351</v>
      </c>
    </row>
  </sheetData>
  <phoneticPr fontId="19" type="noConversion"/>
  <pageMargins left="0.69972223043441772" right="0.69972223043441772" top="0.75" bottom="0.75" header="0.30000001192092896" footer="0.30000001192092896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11</vt:i4>
      </vt:variant>
    </vt:vector>
  </HeadingPairs>
  <TitlesOfParts>
    <vt:vector size="23" baseType="lpstr">
      <vt:lpstr>Sheet3</vt:lpstr>
      <vt:lpstr>통합계정</vt:lpstr>
      <vt:lpstr>일반계정</vt:lpstr>
      <vt:lpstr>교회학교후원회비</vt:lpstr>
      <vt:lpstr>사랑의헌금</vt:lpstr>
      <vt:lpstr>선교회비</vt:lpstr>
      <vt:lpstr>건축계정</vt:lpstr>
      <vt:lpstr>승강기계정</vt:lpstr>
      <vt:lpstr>해외후원</vt:lpstr>
      <vt:lpstr>국내선교</vt:lpstr>
      <vt:lpstr>계정코드</vt:lpstr>
      <vt:lpstr>장부작성시 주의사항</vt:lpstr>
      <vt:lpstr>계정코드!Print_Area</vt:lpstr>
      <vt:lpstr>일반계정!Print_Area</vt:lpstr>
      <vt:lpstr>건축계정!Print_Titles</vt:lpstr>
      <vt:lpstr>계정코드!Print_Titles</vt:lpstr>
      <vt:lpstr>교회학교후원회비!Print_Titles</vt:lpstr>
      <vt:lpstr>국내선교!Print_Titles</vt:lpstr>
      <vt:lpstr>사랑의헌금!Print_Titles</vt:lpstr>
      <vt:lpstr>선교회비!Print_Titles</vt:lpstr>
      <vt:lpstr>일반계정!Print_Titles</vt:lpstr>
      <vt:lpstr>통합계정!Print_Titles</vt:lpstr>
      <vt:lpstr>해외후원!Print_Titles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hc.ahn</cp:lastModifiedBy>
  <cp:revision>3</cp:revision>
  <cp:lastPrinted>2025-03-16T07:16:40Z</cp:lastPrinted>
  <dcterms:created xsi:type="dcterms:W3CDTF">2012-01-14T01:16:52Z</dcterms:created>
  <dcterms:modified xsi:type="dcterms:W3CDTF">2026-05-18T06:15:46Z</dcterms:modified>
</cp:coreProperties>
</file>
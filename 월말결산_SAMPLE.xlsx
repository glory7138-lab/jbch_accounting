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003378766\Downloads\"/>
    </mc:Choice>
  </mc:AlternateContent>
  <xr:revisionPtr revIDLastSave="0" documentId="13_ncr:1_{8F62DD61-0E80-407A-948F-230FCFBAF5C5}" xr6:coauthVersionLast="47" xr6:coauthVersionMax="47" xr10:uidLastSave="{00000000-0000-0000-0000-000000000000}"/>
  <bookViews>
    <workbookView xWindow="-108" yWindow="-108" windowWidth="23256" windowHeight="13896" tabRatio="815" xr2:uid="{00000000-000D-0000-FFFF-FFFF00000000}"/>
  </bookViews>
  <sheets>
    <sheet name="결산양식" sheetId="22" r:id="rId1"/>
    <sheet name="참여현황 및 주요관리항목 지출" sheetId="21" r:id="rId2"/>
    <sheet name="주간보고자료" sheetId="7" r:id="rId3"/>
    <sheet name="회계결산 표지" sheetId="11" r:id="rId4"/>
    <sheet name="Sheet1" sheetId="14" r:id="rId5"/>
  </sheets>
  <externalReferences>
    <externalReference r:id="rId6"/>
    <externalReference r:id="rId7"/>
    <externalReference r:id="rId8"/>
    <externalReference r:id="rId9"/>
    <externalReference r:id="rId10"/>
  </externalReferences>
  <definedNames>
    <definedName name="_xlnm.Print_Area" localSheetId="0">결산양식!$A:$J</definedName>
    <definedName name="_xlnm.Print_Area" localSheetId="1">'참여현황 및 주요관리항목 지출'!$A$1:$P$33</definedName>
    <definedName name="번호" localSheetId="1">#REF!</definedName>
    <definedName name="번호">#REF!</definedName>
    <definedName name="봉투번호" localSheetId="1">#REF!</definedName>
    <definedName name="봉투번호">#REF!</definedName>
    <definedName name="봉투번호1" localSheetId="1">#REF!</definedName>
    <definedName name="봉투번호1">#REF!</definedName>
    <definedName name="헌금봉투2017" localSheetId="1">#REF!</definedName>
    <definedName name="헌금봉투2017">#REF!</definedName>
    <definedName name="헌금봉투번호2017" localSheetId="1">#REF!</definedName>
    <definedName name="헌금봉투번호2017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8" i="21" l="1"/>
  <c r="R8" i="21"/>
  <c r="Q10" i="21"/>
  <c r="R10" i="21"/>
  <c r="Q12" i="21"/>
  <c r="R12" i="21"/>
  <c r="Q14" i="21"/>
  <c r="R14" i="21"/>
  <c r="Q16" i="21"/>
  <c r="R16" i="21"/>
  <c r="Q18" i="21"/>
  <c r="R18" i="21"/>
  <c r="Q20" i="21"/>
  <c r="R20" i="21"/>
  <c r="R6" i="21"/>
  <c r="Q6" i="21"/>
  <c r="D39" i="22" l="1"/>
  <c r="H37" i="7" l="1"/>
  <c r="H36" i="7" l="1"/>
  <c r="H6" i="7" l="1"/>
  <c r="H7" i="7"/>
  <c r="H8" i="7"/>
  <c r="H9" i="7"/>
  <c r="H10" i="7"/>
  <c r="H11" i="7"/>
  <c r="H12" i="7"/>
  <c r="H13" i="7"/>
  <c r="H5" i="7"/>
  <c r="H30" i="22" l="1"/>
  <c r="E19" i="7" l="1"/>
  <c r="J55" i="7"/>
  <c r="C19" i="22" l="1"/>
  <c r="D19" i="22" l="1"/>
  <c r="P32" i="21" l="1"/>
  <c r="P33" i="21"/>
  <c r="P31" i="21" l="1"/>
  <c r="P30" i="21"/>
  <c r="H19" i="22" l="1"/>
  <c r="D30" i="22"/>
  <c r="H31" i="22" s="1"/>
  <c r="H41" i="7"/>
  <c r="G19" i="7" l="1"/>
  <c r="D51" i="22"/>
  <c r="H19" i="7" l="1"/>
  <c r="G19" i="22"/>
  <c r="M22" i="7" l="1"/>
  <c r="N22" i="7" s="1"/>
  <c r="O22" i="7" s="1"/>
  <c r="P22" i="7" s="1"/>
  <c r="Q22" i="7" s="1"/>
  <c r="C51" i="22" l="1"/>
  <c r="G48" i="22"/>
  <c r="C48" i="22"/>
  <c r="G44" i="22"/>
  <c r="C44" i="22"/>
  <c r="G39" i="22"/>
  <c r="C39" i="22"/>
  <c r="G35" i="22"/>
  <c r="C35" i="22"/>
  <c r="G30" i="22"/>
  <c r="C30" i="22"/>
  <c r="H24" i="22"/>
  <c r="G24" i="22"/>
  <c r="C23" i="22"/>
  <c r="C24" i="22" s="1"/>
  <c r="G50" i="22" l="1"/>
  <c r="C50" i="22"/>
  <c r="P29" i="21" l="1"/>
  <c r="P27" i="21"/>
  <c r="P26" i="21"/>
  <c r="P28" i="21" l="1"/>
  <c r="C19" i="7" l="1"/>
  <c r="D19" i="7" l="1"/>
  <c r="H23" i="7" l="1"/>
  <c r="Q19" i="7" l="1"/>
  <c r="C44" i="7" l="1"/>
  <c r="C39" i="7"/>
  <c r="T49" i="7" l="1"/>
  <c r="Q49" i="7"/>
  <c r="P49" i="7"/>
  <c r="O49" i="7"/>
  <c r="N49" i="7"/>
  <c r="M49" i="7"/>
  <c r="I49" i="7"/>
  <c r="G49" i="7"/>
  <c r="F49" i="7"/>
  <c r="E49" i="7"/>
  <c r="D49" i="7"/>
  <c r="C49" i="7"/>
  <c r="R48" i="7"/>
  <c r="H48" i="7"/>
  <c r="J48" i="7" s="1"/>
  <c r="S47" i="7"/>
  <c r="R47" i="7"/>
  <c r="H47" i="7"/>
  <c r="S46" i="7"/>
  <c r="R46" i="7"/>
  <c r="H46" i="7"/>
  <c r="D48" i="22" s="1"/>
  <c r="H48" i="22" l="1"/>
  <c r="H49" i="22" s="1"/>
  <c r="J47" i="7"/>
  <c r="J46" i="7"/>
  <c r="R49" i="7"/>
  <c r="M50" i="7"/>
  <c r="N50" i="7" s="1"/>
  <c r="O50" i="7" s="1"/>
  <c r="P50" i="7" s="1"/>
  <c r="Q50" i="7" s="1"/>
  <c r="S49" i="7"/>
  <c r="H49" i="7"/>
  <c r="J49" i="7" l="1"/>
  <c r="O36" i="21"/>
  <c r="N36" i="21"/>
  <c r="M36" i="21"/>
  <c r="L36" i="21"/>
  <c r="K36" i="21"/>
  <c r="J36" i="21"/>
  <c r="I36" i="21"/>
  <c r="H36" i="21"/>
  <c r="G36" i="21"/>
  <c r="F36" i="21"/>
  <c r="E36" i="21"/>
  <c r="D36" i="21"/>
  <c r="Q33" i="21"/>
  <c r="Q31" i="21"/>
  <c r="Q30" i="21"/>
  <c r="Q29" i="21"/>
  <c r="Q27" i="21"/>
  <c r="Q26" i="21"/>
  <c r="Q32" i="21" l="1"/>
  <c r="Q28" i="21"/>
  <c r="H43" i="7" l="1"/>
  <c r="H42" i="7"/>
  <c r="H44" i="7" l="1"/>
  <c r="M44" i="7" l="1"/>
  <c r="M45" i="7" s="1"/>
  <c r="M54" i="7" s="1"/>
  <c r="T44" i="7"/>
  <c r="Q44" i="7"/>
  <c r="P44" i="7"/>
  <c r="O44" i="7"/>
  <c r="N44" i="7"/>
  <c r="G44" i="7"/>
  <c r="F44" i="7"/>
  <c r="E44" i="7"/>
  <c r="D44" i="7"/>
  <c r="R43" i="7"/>
  <c r="S42" i="7"/>
  <c r="R42" i="7"/>
  <c r="J42" i="7"/>
  <c r="S41" i="7"/>
  <c r="S44" i="7" s="1"/>
  <c r="R41" i="7"/>
  <c r="I44" i="7"/>
  <c r="N45" i="7" l="1"/>
  <c r="O45" i="7" s="1"/>
  <c r="H44" i="22"/>
  <c r="H45" i="22" s="1"/>
  <c r="J43" i="7"/>
  <c r="R44" i="7"/>
  <c r="J41" i="7"/>
  <c r="J44" i="7" l="1"/>
  <c r="N54" i="7" l="1"/>
  <c r="O54" i="7" l="1"/>
  <c r="P45" i="7"/>
  <c r="Q45" i="7" s="1"/>
  <c r="Q54" i="7" s="1"/>
  <c r="P54" i="7" l="1"/>
  <c r="G28" i="7"/>
  <c r="I25" i="7" l="1"/>
  <c r="I23" i="7"/>
  <c r="I30" i="7"/>
  <c r="I37" i="7"/>
  <c r="I36" i="7"/>
  <c r="S31" i="7"/>
  <c r="S37" i="7"/>
  <c r="S36" i="7"/>
  <c r="S30" i="7"/>
  <c r="S24" i="7"/>
  <c r="S23" i="7"/>
  <c r="S17" i="7"/>
  <c r="S7" i="7" l="1"/>
  <c r="S8" i="7"/>
  <c r="S9" i="7"/>
  <c r="S10" i="7"/>
  <c r="S11" i="7"/>
  <c r="S12" i="7"/>
  <c r="S13" i="7"/>
  <c r="S14" i="7"/>
  <c r="S15" i="7"/>
  <c r="S16" i="7"/>
  <c r="S5" i="7"/>
  <c r="I21" i="7"/>
  <c r="I10" i="7"/>
  <c r="I9" i="7"/>
  <c r="I8" i="7"/>
  <c r="J8" i="7" s="1"/>
  <c r="I7" i="7"/>
  <c r="I6" i="7"/>
  <c r="I5" i="7"/>
  <c r="J5" i="7" s="1"/>
  <c r="N39" i="7" l="1"/>
  <c r="N19" i="7" l="1"/>
  <c r="M19" i="7"/>
  <c r="M20" i="7" s="1"/>
  <c r="N20" i="7" l="1"/>
  <c r="F19" i="7"/>
  <c r="C28" i="7" l="1"/>
  <c r="R17" i="7" l="1"/>
  <c r="D28" i="7" l="1"/>
  <c r="E28" i="7"/>
  <c r="F28" i="7"/>
  <c r="C34" i="7"/>
  <c r="C51" i="7" s="1"/>
  <c r="D34" i="7"/>
  <c r="E34" i="7"/>
  <c r="F34" i="7"/>
  <c r="G34" i="7"/>
  <c r="D39" i="7"/>
  <c r="E39" i="7"/>
  <c r="F39" i="7"/>
  <c r="G39" i="7"/>
  <c r="E51" i="7" l="1"/>
  <c r="D51" i="7"/>
  <c r="F51" i="7"/>
  <c r="G51" i="7"/>
  <c r="I19" i="7" l="1"/>
  <c r="J19" i="7" l="1"/>
  <c r="O19" i="7"/>
  <c r="O20" i="7" s="1"/>
  <c r="H21" i="7" l="1"/>
  <c r="D24" i="22" l="1"/>
  <c r="N28" i="7"/>
  <c r="H25" i="22" l="1"/>
  <c r="M28" i="7"/>
  <c r="O28" i="7"/>
  <c r="M29" i="7" l="1"/>
  <c r="N29" i="7" s="1"/>
  <c r="O29" i="7" s="1"/>
  <c r="M53" i="7" l="1"/>
  <c r="R24" i="7"/>
  <c r="R21" i="7"/>
  <c r="P19" i="7" l="1"/>
  <c r="P20" i="7" s="1"/>
  <c r="Q20" i="7" s="1"/>
  <c r="S21" i="7" l="1"/>
  <c r="T21" i="7" s="1"/>
  <c r="S19" i="7" l="1"/>
  <c r="J6" i="7" l="1"/>
  <c r="J7" i="7"/>
  <c r="J9" i="7"/>
  <c r="J10" i="7"/>
  <c r="H26" i="7" l="1"/>
  <c r="R38" i="7" l="1"/>
  <c r="R37" i="7"/>
  <c r="R32" i="7"/>
  <c r="R33" i="7"/>
  <c r="R31" i="7"/>
  <c r="R25" i="7"/>
  <c r="R26" i="7"/>
  <c r="R27" i="7"/>
  <c r="R23" i="7"/>
  <c r="R7" i="7"/>
  <c r="R8" i="7"/>
  <c r="R9" i="7"/>
  <c r="R10" i="7"/>
  <c r="R11" i="7"/>
  <c r="R12" i="7"/>
  <c r="R13" i="7"/>
  <c r="R14" i="7"/>
  <c r="R15" i="7"/>
  <c r="R16" i="7"/>
  <c r="R18" i="7"/>
  <c r="R6" i="7"/>
  <c r="H38" i="7"/>
  <c r="H32" i="7"/>
  <c r="H33" i="7"/>
  <c r="H31" i="7"/>
  <c r="H25" i="7"/>
  <c r="H27" i="7"/>
  <c r="H24" i="7"/>
  <c r="R5" i="7"/>
  <c r="H20" i="22" l="1"/>
  <c r="H35" i="22"/>
  <c r="R19" i="7"/>
  <c r="T18" i="7"/>
  <c r="T24" i="7"/>
  <c r="H30" i="7"/>
  <c r="D35" i="22" s="1"/>
  <c r="Q39" i="7"/>
  <c r="Q34" i="7"/>
  <c r="Q28" i="7"/>
  <c r="H36" i="22" l="1"/>
  <c r="Q51" i="7"/>
  <c r="H28" i="7"/>
  <c r="H34" i="7"/>
  <c r="T39" i="7"/>
  <c r="T9" i="7"/>
  <c r="J13" i="7"/>
  <c r="D50" i="22" l="1"/>
  <c r="D63" i="22" s="1"/>
  <c r="J12" i="7"/>
  <c r="J21" i="7"/>
  <c r="O39" i="7" l="1"/>
  <c r="P39" i="7"/>
  <c r="S39" i="7"/>
  <c r="M39" i="7"/>
  <c r="P28" i="7"/>
  <c r="P29" i="7" s="1"/>
  <c r="Q29" i="7" s="1"/>
  <c r="S28" i="7"/>
  <c r="N34" i="7"/>
  <c r="N51" i="7" s="1"/>
  <c r="O34" i="7"/>
  <c r="P34" i="7"/>
  <c r="S34" i="7"/>
  <c r="M34" i="7"/>
  <c r="M35" i="7" s="1"/>
  <c r="I39" i="7"/>
  <c r="I34" i="7"/>
  <c r="I28" i="7"/>
  <c r="N35" i="7" l="1"/>
  <c r="O51" i="7"/>
  <c r="P51" i="7"/>
  <c r="M40" i="7"/>
  <c r="M51" i="7"/>
  <c r="I51" i="7"/>
  <c r="Q53" i="7"/>
  <c r="R30" i="7"/>
  <c r="N53" i="7"/>
  <c r="S51" i="7"/>
  <c r="T17" i="7"/>
  <c r="J23" i="7"/>
  <c r="J25" i="7"/>
  <c r="J32" i="7"/>
  <c r="J37" i="7"/>
  <c r="T5" i="7"/>
  <c r="T8" i="7"/>
  <c r="T11" i="7"/>
  <c r="T13" i="7"/>
  <c r="T31" i="7"/>
  <c r="T16" i="7"/>
  <c r="J24" i="7"/>
  <c r="J26" i="7"/>
  <c r="J31" i="7"/>
  <c r="J30" i="7"/>
  <c r="J36" i="7"/>
  <c r="T6" i="7"/>
  <c r="T7" i="7"/>
  <c r="T10" i="7"/>
  <c r="T12" i="7"/>
  <c r="T14" i="7"/>
  <c r="T32" i="7"/>
  <c r="T15" i="7"/>
  <c r="R28" i="7"/>
  <c r="H39" i="7"/>
  <c r="H51" i="7" s="1"/>
  <c r="N40" i="7" l="1"/>
  <c r="O40" i="7" s="1"/>
  <c r="M52" i="7"/>
  <c r="M55" i="7" s="1"/>
  <c r="R34" i="7"/>
  <c r="T30" i="7"/>
  <c r="T34" i="7" s="1"/>
  <c r="O35" i="7"/>
  <c r="P35" i="7" s="1"/>
  <c r="Q35" i="7" s="1"/>
  <c r="R36" i="7"/>
  <c r="H39" i="22" s="1"/>
  <c r="H40" i="22" s="1"/>
  <c r="O53" i="7"/>
  <c r="J39" i="7"/>
  <c r="J34" i="7"/>
  <c r="J28" i="7"/>
  <c r="T28" i="7"/>
  <c r="T19" i="7"/>
  <c r="P40" i="7" l="1"/>
  <c r="N52" i="7"/>
  <c r="N55" i="7" s="1"/>
  <c r="H50" i="22"/>
  <c r="H51" i="22"/>
  <c r="R39" i="7"/>
  <c r="R51" i="7" s="1"/>
  <c r="P53" i="7"/>
  <c r="Q40" i="7" l="1"/>
  <c r="Q52" i="7" s="1"/>
  <c r="Q55" i="7" s="1"/>
  <c r="T51" i="7"/>
  <c r="O52" i="7"/>
  <c r="O55" i="7" s="1"/>
  <c r="P52" i="7" l="1"/>
  <c r="P55" i="7" s="1"/>
</calcChain>
</file>

<file path=xl/sharedStrings.xml><?xml version="1.0" encoding="utf-8"?>
<sst xmlns="http://schemas.openxmlformats.org/spreadsheetml/2006/main" count="329" uniqueCount="228">
  <si>
    <t>비 고</t>
    <phoneticPr fontId="2" type="noConversion"/>
  </si>
  <si>
    <t>주 일 말 씀</t>
  </si>
  <si>
    <t>전도집회비</t>
  </si>
  <si>
    <t>차량유지비</t>
  </si>
  <si>
    <t>원 금 상 환</t>
    <phoneticPr fontId="3" type="noConversion"/>
  </si>
  <si>
    <t>시설&amp;운영관리비</t>
    <phoneticPr fontId="3" type="noConversion"/>
  </si>
  <si>
    <t>부서지원비</t>
    <phoneticPr fontId="3" type="noConversion"/>
  </si>
  <si>
    <t>타교회헌금</t>
    <phoneticPr fontId="2" type="noConversion"/>
  </si>
  <si>
    <t>대 출 이 자</t>
    <phoneticPr fontId="3" type="noConversion"/>
  </si>
  <si>
    <t xml:space="preserve"> 차   입   금</t>
    <phoneticPr fontId="2" type="noConversion"/>
  </si>
  <si>
    <t xml:space="preserve"> 건 축 헌 금</t>
    <phoneticPr fontId="2" type="noConversion"/>
  </si>
  <si>
    <t xml:space="preserve"> 회 별 헌 금</t>
    <phoneticPr fontId="2" type="noConversion"/>
  </si>
  <si>
    <t xml:space="preserve"> 예 금 이 자</t>
    <phoneticPr fontId="2" type="noConversion"/>
  </si>
  <si>
    <t>교회학교 후원회비</t>
    <phoneticPr fontId="2" type="noConversion"/>
  </si>
  <si>
    <t>공   과   금</t>
    <phoneticPr fontId="2" type="noConversion"/>
  </si>
  <si>
    <t>운   영   비</t>
    <phoneticPr fontId="2" type="noConversion"/>
  </si>
  <si>
    <t>대   여   금</t>
  </si>
  <si>
    <t>대   여   금</t>
    <phoneticPr fontId="3" type="noConversion"/>
  </si>
  <si>
    <t>사무&amp;비품</t>
    <phoneticPr fontId="2" type="noConversion"/>
  </si>
  <si>
    <t>주 일 헌 금</t>
    <phoneticPr fontId="2" type="noConversion"/>
  </si>
  <si>
    <t>집 회 헌 금</t>
    <phoneticPr fontId="2" type="noConversion"/>
  </si>
  <si>
    <t>감 사 헌 금</t>
    <phoneticPr fontId="2" type="noConversion"/>
  </si>
  <si>
    <t>기 타 헌 금</t>
    <phoneticPr fontId="2" type="noConversion"/>
  </si>
  <si>
    <t>기 타 수 입</t>
    <phoneticPr fontId="2" type="noConversion"/>
  </si>
  <si>
    <t>차   입   금</t>
    <phoneticPr fontId="2" type="noConversion"/>
  </si>
  <si>
    <t>수  입</t>
    <phoneticPr fontId="2" type="noConversion"/>
  </si>
  <si>
    <t>전  월</t>
    <phoneticPr fontId="2" type="noConversion"/>
  </si>
  <si>
    <t>당  월</t>
    <phoneticPr fontId="2" type="noConversion"/>
  </si>
  <si>
    <t>지  출</t>
    <phoneticPr fontId="2" type="noConversion"/>
  </si>
  <si>
    <t>총    회   비</t>
    <phoneticPr fontId="2" type="noConversion"/>
  </si>
  <si>
    <t>십   일   조</t>
    <phoneticPr fontId="3" type="noConversion"/>
  </si>
  <si>
    <t>수  입  계</t>
    <phoneticPr fontId="2" type="noConversion"/>
  </si>
  <si>
    <t>지  출  계</t>
    <phoneticPr fontId="2" type="noConversion"/>
  </si>
  <si>
    <t>일 반 계 정</t>
    <phoneticPr fontId="2" type="noConversion"/>
  </si>
  <si>
    <t xml:space="preserve"> 사랑의헌금</t>
  </si>
  <si>
    <t>전도지원비</t>
  </si>
  <si>
    <t>경 조 사 비</t>
  </si>
  <si>
    <t>사랑</t>
    <phoneticPr fontId="2" type="noConversion"/>
  </si>
  <si>
    <t>계 정 과 목</t>
    <phoneticPr fontId="2" type="noConversion"/>
  </si>
  <si>
    <t>선교비</t>
    <phoneticPr fontId="2" type="noConversion"/>
  </si>
  <si>
    <t xml:space="preserve"> 선 교 회 비</t>
  </si>
  <si>
    <t xml:space="preserve"> 세계선교회비</t>
  </si>
  <si>
    <t>선교회비</t>
  </si>
  <si>
    <t>세계선교회비</t>
  </si>
  <si>
    <t>건축계정</t>
    <phoneticPr fontId="2" type="noConversion"/>
  </si>
  <si>
    <t>교회학교 후원비</t>
    <phoneticPr fontId="3" type="noConversion"/>
  </si>
  <si>
    <r>
      <t>2</t>
    </r>
    <r>
      <rPr>
        <b/>
        <sz val="10"/>
        <color theme="0"/>
        <rFont val="맑은 고딕"/>
        <family val="3"/>
        <charset val="129"/>
      </rPr>
      <t>월</t>
    </r>
    <r>
      <rPr>
        <sz val="10"/>
        <rFont val="돋움"/>
        <family val="3"/>
        <charset val="129"/>
      </rPr>
      <t/>
    </r>
  </si>
  <si>
    <r>
      <t>3</t>
    </r>
    <r>
      <rPr>
        <b/>
        <sz val="10"/>
        <color theme="0"/>
        <rFont val="맑은 고딕"/>
        <family val="3"/>
        <charset val="129"/>
      </rPr>
      <t>월</t>
    </r>
    <r>
      <rPr>
        <sz val="10"/>
        <rFont val="돋움"/>
        <family val="3"/>
        <charset val="129"/>
      </rPr>
      <t/>
    </r>
  </si>
  <si>
    <r>
      <t>4</t>
    </r>
    <r>
      <rPr>
        <b/>
        <sz val="10"/>
        <color theme="0"/>
        <rFont val="맑은 고딕"/>
        <family val="3"/>
        <charset val="129"/>
      </rPr>
      <t>월</t>
    </r>
    <r>
      <rPr>
        <sz val="10"/>
        <rFont val="돋움"/>
        <family val="3"/>
        <charset val="129"/>
      </rPr>
      <t/>
    </r>
  </si>
  <si>
    <r>
      <t>5</t>
    </r>
    <r>
      <rPr>
        <b/>
        <sz val="10"/>
        <color theme="0"/>
        <rFont val="맑은 고딕"/>
        <family val="3"/>
        <charset val="129"/>
      </rPr>
      <t>월</t>
    </r>
    <r>
      <rPr>
        <sz val="10"/>
        <rFont val="돋움"/>
        <family val="3"/>
        <charset val="129"/>
      </rPr>
      <t/>
    </r>
  </si>
  <si>
    <r>
      <t>6</t>
    </r>
    <r>
      <rPr>
        <b/>
        <sz val="10"/>
        <color theme="0"/>
        <rFont val="맑은 고딕"/>
        <family val="3"/>
        <charset val="129"/>
      </rPr>
      <t>월</t>
    </r>
    <r>
      <rPr>
        <sz val="10"/>
        <rFont val="돋움"/>
        <family val="3"/>
        <charset val="129"/>
      </rPr>
      <t/>
    </r>
  </si>
  <si>
    <r>
      <t>7</t>
    </r>
    <r>
      <rPr>
        <b/>
        <sz val="10"/>
        <color theme="0"/>
        <rFont val="맑은 고딕"/>
        <family val="3"/>
        <charset val="129"/>
      </rPr>
      <t>월</t>
    </r>
    <r>
      <rPr>
        <sz val="10"/>
        <rFont val="돋움"/>
        <family val="3"/>
        <charset val="129"/>
      </rPr>
      <t/>
    </r>
  </si>
  <si>
    <r>
      <t>8</t>
    </r>
    <r>
      <rPr>
        <b/>
        <sz val="10"/>
        <color theme="0"/>
        <rFont val="맑은 고딕"/>
        <family val="3"/>
        <charset val="129"/>
      </rPr>
      <t>월</t>
    </r>
    <r>
      <rPr>
        <sz val="10"/>
        <rFont val="돋움"/>
        <family val="3"/>
        <charset val="129"/>
      </rPr>
      <t/>
    </r>
  </si>
  <si>
    <r>
      <t>9</t>
    </r>
    <r>
      <rPr>
        <b/>
        <sz val="10"/>
        <color theme="0"/>
        <rFont val="맑은 고딕"/>
        <family val="3"/>
        <charset val="129"/>
      </rPr>
      <t>월</t>
    </r>
    <r>
      <rPr>
        <sz val="10"/>
        <rFont val="돋움"/>
        <family val="3"/>
        <charset val="129"/>
      </rPr>
      <t/>
    </r>
  </si>
  <si>
    <r>
      <t>10</t>
    </r>
    <r>
      <rPr>
        <b/>
        <sz val="10"/>
        <color theme="0"/>
        <rFont val="맑은 고딕"/>
        <family val="3"/>
        <charset val="129"/>
      </rPr>
      <t>월</t>
    </r>
    <r>
      <rPr>
        <sz val="10"/>
        <rFont val="돋움"/>
        <family val="3"/>
        <charset val="129"/>
      </rPr>
      <t/>
    </r>
  </si>
  <si>
    <r>
      <t>11</t>
    </r>
    <r>
      <rPr>
        <b/>
        <sz val="10"/>
        <color theme="0"/>
        <rFont val="맑은 고딕"/>
        <family val="3"/>
        <charset val="129"/>
      </rPr>
      <t>월</t>
    </r>
    <r>
      <rPr>
        <sz val="10"/>
        <rFont val="돋움"/>
        <family val="3"/>
        <charset val="129"/>
      </rPr>
      <t/>
    </r>
  </si>
  <si>
    <t>누  적</t>
    <phoneticPr fontId="2" type="noConversion"/>
  </si>
  <si>
    <t>1주차</t>
    <phoneticPr fontId="2" type="noConversion"/>
  </si>
  <si>
    <t>2주차</t>
    <phoneticPr fontId="2" type="noConversion"/>
  </si>
  <si>
    <t>3주차</t>
    <phoneticPr fontId="2" type="noConversion"/>
  </si>
  <si>
    <t>4주차</t>
    <phoneticPr fontId="2" type="noConversion"/>
  </si>
  <si>
    <t>합계</t>
  </si>
  <si>
    <t>기본</t>
  </si>
  <si>
    <t>사용</t>
  </si>
  <si>
    <r>
      <t>2월</t>
    </r>
    <r>
      <rPr>
        <sz val="10"/>
        <rFont val="돋움"/>
        <family val="3"/>
        <charset val="129"/>
      </rPr>
      <t/>
    </r>
  </si>
  <si>
    <r>
      <t>3월</t>
    </r>
    <r>
      <rPr>
        <sz val="10"/>
        <rFont val="돋움"/>
        <family val="3"/>
        <charset val="129"/>
      </rPr>
      <t/>
    </r>
  </si>
  <si>
    <r>
      <t>4월</t>
    </r>
    <r>
      <rPr>
        <sz val="10"/>
        <rFont val="돋움"/>
        <family val="3"/>
        <charset val="129"/>
      </rPr>
      <t/>
    </r>
  </si>
  <si>
    <r>
      <t>5월</t>
    </r>
    <r>
      <rPr>
        <sz val="10"/>
        <rFont val="돋움"/>
        <family val="3"/>
        <charset val="129"/>
      </rPr>
      <t/>
    </r>
  </si>
  <si>
    <r>
      <t>6월</t>
    </r>
    <r>
      <rPr>
        <sz val="10"/>
        <rFont val="돋움"/>
        <family val="3"/>
        <charset val="129"/>
      </rPr>
      <t/>
    </r>
  </si>
  <si>
    <r>
      <t>7월</t>
    </r>
    <r>
      <rPr>
        <sz val="10"/>
        <rFont val="돋움"/>
        <family val="3"/>
        <charset val="129"/>
      </rPr>
      <t/>
    </r>
  </si>
  <si>
    <r>
      <t>8월</t>
    </r>
    <r>
      <rPr>
        <sz val="10"/>
        <rFont val="돋움"/>
        <family val="3"/>
        <charset val="129"/>
      </rPr>
      <t/>
    </r>
  </si>
  <si>
    <r>
      <t>9월</t>
    </r>
    <r>
      <rPr>
        <sz val="10"/>
        <rFont val="돋움"/>
        <family val="3"/>
        <charset val="129"/>
      </rPr>
      <t/>
    </r>
  </si>
  <si>
    <r>
      <t>10월</t>
    </r>
    <r>
      <rPr>
        <sz val="10"/>
        <rFont val="돋움"/>
        <family val="3"/>
        <charset val="129"/>
      </rPr>
      <t/>
    </r>
  </si>
  <si>
    <r>
      <t>11월</t>
    </r>
    <r>
      <rPr>
        <sz val="10"/>
        <rFont val="돋움"/>
        <family val="3"/>
        <charset val="129"/>
      </rPr>
      <t/>
    </r>
  </si>
  <si>
    <r>
      <t>12월</t>
    </r>
    <r>
      <rPr>
        <sz val="10"/>
        <rFont val="돋움"/>
        <family val="3"/>
        <charset val="129"/>
      </rPr>
      <t/>
    </r>
  </si>
  <si>
    <t>헌 금 항 목</t>
    <phoneticPr fontId="2" type="noConversion"/>
  </si>
  <si>
    <t>1월</t>
    <phoneticPr fontId="3" type="noConversion"/>
  </si>
  <si>
    <t>예 산</t>
    <phoneticPr fontId="2" type="noConversion"/>
  </si>
  <si>
    <t>차이</t>
    <phoneticPr fontId="2" type="noConversion"/>
  </si>
  <si>
    <t>Ⅰ 수입, 지출 현황</t>
    <phoneticPr fontId="2" type="noConversion"/>
  </si>
  <si>
    <t>금액</t>
  </si>
  <si>
    <t>미디어 선교회비</t>
    <phoneticPr fontId="2" type="noConversion"/>
  </si>
  <si>
    <t>총     회    비</t>
    <phoneticPr fontId="2" type="noConversion"/>
  </si>
  <si>
    <t>미디어선교회비</t>
    <phoneticPr fontId="2" type="noConversion"/>
  </si>
  <si>
    <t>부 서 지 원 비</t>
    <phoneticPr fontId="3" type="noConversion"/>
  </si>
  <si>
    <t>십    일    조</t>
    <phoneticPr fontId="3" type="noConversion"/>
  </si>
  <si>
    <t>기 타 비 용3</t>
    <phoneticPr fontId="2" type="noConversion"/>
  </si>
  <si>
    <t>기 타 비 용1</t>
    <phoneticPr fontId="3" type="noConversion"/>
  </si>
  <si>
    <r>
      <rPr>
        <b/>
        <sz val="14"/>
        <rFont val="맑은 고딕"/>
        <family val="3"/>
        <charset val="129"/>
      </rPr>
      <t>◆</t>
    </r>
    <r>
      <rPr>
        <b/>
        <sz val="14"/>
        <rFont val="Arial"/>
        <family val="2"/>
      </rPr>
      <t xml:space="preserve"> </t>
    </r>
    <r>
      <rPr>
        <b/>
        <sz val="14"/>
        <rFont val="맑은 고딕"/>
        <family val="3"/>
        <charset val="129"/>
      </rPr>
      <t>월별</t>
    </r>
    <r>
      <rPr>
        <b/>
        <sz val="14"/>
        <rFont val="Arial"/>
        <family val="2"/>
      </rPr>
      <t xml:space="preserve"> </t>
    </r>
    <r>
      <rPr>
        <b/>
        <sz val="14"/>
        <rFont val="맑은 고딕"/>
        <family val="3"/>
        <charset val="129"/>
      </rPr>
      <t>헌금</t>
    </r>
    <r>
      <rPr>
        <b/>
        <sz val="14"/>
        <rFont val="Arial"/>
        <family val="2"/>
      </rPr>
      <t xml:space="preserve"> </t>
    </r>
    <r>
      <rPr>
        <b/>
        <sz val="14"/>
        <rFont val="맑은 고딕"/>
        <family val="3"/>
        <charset val="129"/>
      </rPr>
      <t>참여</t>
    </r>
    <r>
      <rPr>
        <b/>
        <sz val="14"/>
        <rFont val="Arial"/>
        <family val="2"/>
      </rPr>
      <t xml:space="preserve"> </t>
    </r>
    <r>
      <rPr>
        <b/>
        <sz val="14"/>
        <rFont val="맑은 고딕"/>
        <family val="3"/>
        <charset val="129"/>
      </rPr>
      <t>현황</t>
    </r>
    <phoneticPr fontId="3" type="noConversion"/>
  </si>
  <si>
    <t>5주차</t>
  </si>
  <si>
    <t>기 타 수 입</t>
    <phoneticPr fontId="2" type="noConversion"/>
  </si>
  <si>
    <t>예 금 이 자</t>
    <phoneticPr fontId="3" type="noConversion"/>
  </si>
  <si>
    <t>기 타 수 입</t>
    <phoneticPr fontId="2" type="noConversion"/>
  </si>
  <si>
    <t>전체</t>
    <phoneticPr fontId="2" type="noConversion"/>
  </si>
  <si>
    <t>수입 합계</t>
    <phoneticPr fontId="2" type="noConversion"/>
  </si>
  <si>
    <t>Ⅱ 당월 헌금 참여 현황 (누적수)</t>
    <phoneticPr fontId="2" type="noConversion"/>
  </si>
  <si>
    <t>이  월  금</t>
    <phoneticPr fontId="2" type="noConversion"/>
  </si>
  <si>
    <t>전월 잔액</t>
    <phoneticPr fontId="2" type="noConversion"/>
  </si>
  <si>
    <t>계정 잔액</t>
    <phoneticPr fontId="2" type="noConversion"/>
  </si>
  <si>
    <t>지출 합계</t>
    <phoneticPr fontId="2" type="noConversion"/>
  </si>
  <si>
    <t>전월 잔액</t>
    <phoneticPr fontId="2" type="noConversion"/>
  </si>
  <si>
    <t>봉사회장</t>
    <phoneticPr fontId="2" type="noConversion"/>
  </si>
  <si>
    <t>담임목사</t>
    <phoneticPr fontId="2" type="noConversion"/>
  </si>
  <si>
    <t>회      계</t>
    <phoneticPr fontId="2" type="noConversion"/>
  </si>
  <si>
    <t>총      무</t>
    <phoneticPr fontId="2" type="noConversion"/>
  </si>
  <si>
    <t>작  성  자</t>
    <phoneticPr fontId="2" type="noConversion"/>
  </si>
  <si>
    <t>Ⅳ 건축헌금 현황</t>
    <phoneticPr fontId="2" type="noConversion"/>
  </si>
  <si>
    <t>회계 결산서(임원모임 보고)</t>
    <phoneticPr fontId="2" type="noConversion"/>
  </si>
  <si>
    <t>헌금(수입) 현황</t>
    <phoneticPr fontId="2" type="noConversion"/>
  </si>
  <si>
    <t>지출 결의서</t>
    <phoneticPr fontId="2" type="noConversion"/>
  </si>
  <si>
    <r>
      <t xml:space="preserve">입금 전표 </t>
    </r>
    <r>
      <rPr>
        <b/>
        <sz val="16"/>
        <color theme="1"/>
        <rFont val="맑은 고딕"/>
        <family val="3"/>
        <charset val="129"/>
        <scheme val="minor"/>
      </rPr>
      <t>(현금 입금 전표)</t>
    </r>
    <phoneticPr fontId="2" type="noConversion"/>
  </si>
  <si>
    <t>회별/부서별 회계 결산서</t>
    <phoneticPr fontId="2" type="noConversion"/>
  </si>
  <si>
    <t>1) 은장회 (회비)</t>
    <phoneticPr fontId="2" type="noConversion"/>
  </si>
  <si>
    <t>2) 봉사회 (회비)</t>
    <phoneticPr fontId="2" type="noConversion"/>
  </si>
  <si>
    <t>3) 어머니회 (회비, 주방, 카페리마)</t>
    <phoneticPr fontId="2" type="noConversion"/>
  </si>
  <si>
    <t>4) 청년회 (회비)</t>
    <phoneticPr fontId="2" type="noConversion"/>
  </si>
  <si>
    <t>5) 중고등부 (후원회비 등)</t>
    <phoneticPr fontId="2" type="noConversion"/>
  </si>
  <si>
    <t>6) 유초등부 (후원회비 등)</t>
    <phoneticPr fontId="2" type="noConversion"/>
  </si>
  <si>
    <t>7) 미선부 (지원금)</t>
    <phoneticPr fontId="2" type="noConversion"/>
  </si>
  <si>
    <t>8) 농선부 (지원금)</t>
    <phoneticPr fontId="2" type="noConversion"/>
  </si>
  <si>
    <t>9) 친교부 (지원금)</t>
    <phoneticPr fontId="2" type="noConversion"/>
  </si>
  <si>
    <t>10) 찬양대 (회비)</t>
    <phoneticPr fontId="2" type="noConversion"/>
  </si>
  <si>
    <t>통장 사본(각 결산서 및 계정)</t>
    <phoneticPr fontId="2" type="noConversion"/>
  </si>
  <si>
    <t>지출 현황</t>
    <phoneticPr fontId="2" type="noConversion"/>
  </si>
  <si>
    <t xml:space="preserve">                                                                     헌  금  참  여   현   황                                                                           (단위 : 명)     </t>
    <phoneticPr fontId="3" type="noConversion"/>
  </si>
  <si>
    <t>일반통합계정</t>
    <phoneticPr fontId="2" type="noConversion"/>
  </si>
  <si>
    <t>건축계정</t>
    <phoneticPr fontId="2" type="noConversion"/>
  </si>
  <si>
    <t>계정 합계액</t>
    <phoneticPr fontId="2" type="noConversion"/>
  </si>
  <si>
    <t>전월대비</t>
    <phoneticPr fontId="2" type="noConversion"/>
  </si>
  <si>
    <t>전전월대비</t>
    <phoneticPr fontId="2" type="noConversion"/>
  </si>
  <si>
    <t>해외후원</t>
    <phoneticPr fontId="2" type="noConversion"/>
  </si>
  <si>
    <t>해외후원참여헌금</t>
    <phoneticPr fontId="2" type="noConversion"/>
  </si>
  <si>
    <t>필리핀퀘존권역</t>
    <phoneticPr fontId="2" type="noConversion"/>
  </si>
  <si>
    <t>아르헨티나</t>
    <phoneticPr fontId="2" type="noConversion"/>
  </si>
  <si>
    <t>해외후원계정</t>
    <phoneticPr fontId="2" type="noConversion"/>
  </si>
  <si>
    <t>인원</t>
    <phoneticPr fontId="2" type="noConversion"/>
  </si>
  <si>
    <t>금액</t>
    <phoneticPr fontId="2" type="noConversion"/>
  </si>
  <si>
    <t>주 일 헌 금</t>
    <phoneticPr fontId="3" type="noConversion"/>
  </si>
  <si>
    <t>인원</t>
    <phoneticPr fontId="2" type="noConversion"/>
  </si>
  <si>
    <t>인원</t>
    <phoneticPr fontId="2" type="noConversion"/>
  </si>
  <si>
    <t>교회학교후원회비</t>
    <phoneticPr fontId="3" type="noConversion"/>
  </si>
  <si>
    <t>인원</t>
    <phoneticPr fontId="2" type="noConversion"/>
  </si>
  <si>
    <t>건 축 헌 금</t>
    <phoneticPr fontId="3" type="noConversion"/>
  </si>
  <si>
    <t>인원</t>
    <phoneticPr fontId="2" type="noConversion"/>
  </si>
  <si>
    <t>사랑의 헌금</t>
    <phoneticPr fontId="3" type="noConversion"/>
  </si>
  <si>
    <t>금액</t>
    <phoneticPr fontId="2" type="noConversion"/>
  </si>
  <si>
    <t>선 교 회 비</t>
    <phoneticPr fontId="3" type="noConversion"/>
  </si>
  <si>
    <t>세계 선교회비</t>
    <phoneticPr fontId="3" type="noConversion"/>
  </si>
  <si>
    <t>◆ 주요 관리항목 지출 현황</t>
    <phoneticPr fontId="2" type="noConversion"/>
  </si>
  <si>
    <t>제  목</t>
    <phoneticPr fontId="2" type="noConversion"/>
  </si>
  <si>
    <r>
      <t xml:space="preserve">                                                                                              </t>
    </r>
    <r>
      <rPr>
        <b/>
        <sz val="10"/>
        <color theme="0"/>
        <rFont val="맑은 고딕"/>
        <family val="3"/>
        <charset val="129"/>
      </rPr>
      <t>전기</t>
    </r>
    <r>
      <rPr>
        <b/>
        <sz val="10"/>
        <color theme="0"/>
        <rFont val="Arial"/>
        <family val="2"/>
      </rPr>
      <t xml:space="preserve"> </t>
    </r>
    <r>
      <rPr>
        <b/>
        <sz val="10"/>
        <color theme="0"/>
        <rFont val="맑은 고딕"/>
        <family val="3"/>
        <charset val="129"/>
      </rPr>
      <t>요금</t>
    </r>
    <r>
      <rPr>
        <b/>
        <sz val="10"/>
        <color theme="0"/>
        <rFont val="Arial"/>
        <family val="2"/>
      </rPr>
      <t xml:space="preserve"> </t>
    </r>
    <r>
      <rPr>
        <b/>
        <sz val="10"/>
        <color theme="0"/>
        <rFont val="맑은 고딕"/>
        <family val="3"/>
        <charset val="129"/>
      </rPr>
      <t>지출</t>
    </r>
    <r>
      <rPr>
        <b/>
        <sz val="10"/>
        <color theme="0"/>
        <rFont val="Arial"/>
        <family val="2"/>
      </rPr>
      <t xml:space="preserve"> </t>
    </r>
    <r>
      <rPr>
        <b/>
        <sz val="10"/>
        <color theme="0"/>
        <rFont val="맑은 고딕"/>
        <family val="3"/>
        <charset val="129"/>
      </rPr>
      <t>현황</t>
    </r>
    <r>
      <rPr>
        <b/>
        <sz val="10"/>
        <color theme="0"/>
        <rFont val="Arial"/>
        <family val="2"/>
      </rPr>
      <t xml:space="preserve">                                                                                                 (</t>
    </r>
    <r>
      <rPr>
        <b/>
        <sz val="10"/>
        <color theme="0"/>
        <rFont val="맑은 고딕"/>
        <family val="3"/>
        <charset val="129"/>
      </rPr>
      <t>단위</t>
    </r>
    <r>
      <rPr>
        <b/>
        <sz val="10"/>
        <color theme="0"/>
        <rFont val="Arial"/>
        <family val="2"/>
      </rPr>
      <t xml:space="preserve"> : </t>
    </r>
    <r>
      <rPr>
        <b/>
        <sz val="10"/>
        <color theme="0"/>
        <rFont val="맑은 고딕"/>
        <family val="3"/>
        <charset val="129"/>
      </rPr>
      <t>원</t>
    </r>
    <r>
      <rPr>
        <b/>
        <sz val="10"/>
        <color theme="0"/>
        <rFont val="Arial"/>
        <family val="2"/>
      </rPr>
      <t xml:space="preserve">)  </t>
    </r>
    <phoneticPr fontId="3" type="noConversion"/>
  </si>
  <si>
    <r>
      <t>1</t>
    </r>
    <r>
      <rPr>
        <b/>
        <sz val="10"/>
        <color theme="0"/>
        <rFont val="맑은 고딕"/>
        <family val="3"/>
        <charset val="129"/>
      </rPr>
      <t>월</t>
    </r>
    <phoneticPr fontId="3" type="noConversion"/>
  </si>
  <si>
    <r>
      <t>12</t>
    </r>
    <r>
      <rPr>
        <b/>
        <sz val="10"/>
        <color theme="0"/>
        <rFont val="맑은 고딕"/>
        <family val="3"/>
        <charset val="129"/>
      </rPr>
      <t>월</t>
    </r>
    <r>
      <rPr>
        <sz val="10"/>
        <rFont val="돋움"/>
        <family val="3"/>
        <charset val="129"/>
      </rPr>
      <t/>
    </r>
    <phoneticPr fontId="2" type="noConversion"/>
  </si>
  <si>
    <r>
      <rPr>
        <b/>
        <sz val="10"/>
        <color theme="0"/>
        <rFont val="돋움"/>
        <family val="3"/>
        <charset val="129"/>
      </rPr>
      <t>합</t>
    </r>
    <r>
      <rPr>
        <b/>
        <sz val="10"/>
        <color theme="0"/>
        <rFont val="Arial"/>
        <family val="2"/>
      </rPr>
      <t xml:space="preserve"> </t>
    </r>
    <r>
      <rPr>
        <b/>
        <sz val="10"/>
        <color theme="0"/>
        <rFont val="돋움"/>
        <family val="3"/>
        <charset val="129"/>
      </rPr>
      <t>계</t>
    </r>
    <phoneticPr fontId="2" type="noConversion"/>
  </si>
  <si>
    <t>전기요금</t>
    <phoneticPr fontId="3" type="noConversion"/>
  </si>
  <si>
    <t>기본</t>
    <phoneticPr fontId="2" type="noConversion"/>
  </si>
  <si>
    <t>사용</t>
    <phoneticPr fontId="2" type="noConversion"/>
  </si>
  <si>
    <t>부가세
전력기금등</t>
    <phoneticPr fontId="2" type="noConversion"/>
  </si>
  <si>
    <t>합계</t>
    <phoneticPr fontId="2" type="noConversion"/>
  </si>
  <si>
    <t>최대부하/KWh</t>
    <phoneticPr fontId="2" type="noConversion"/>
  </si>
  <si>
    <t>주  일  헌  금</t>
    <phoneticPr fontId="2" type="noConversion"/>
  </si>
  <si>
    <t>집  회  헌  금</t>
    <phoneticPr fontId="2" type="noConversion"/>
  </si>
  <si>
    <t>주  일  말  씀</t>
    <phoneticPr fontId="2" type="noConversion"/>
  </si>
  <si>
    <t>감  사  헌  금</t>
    <phoneticPr fontId="2" type="noConversion"/>
  </si>
  <si>
    <t>전 도 집 회 비</t>
    <phoneticPr fontId="2" type="noConversion"/>
  </si>
  <si>
    <t>기  타  헌  금</t>
    <phoneticPr fontId="2" type="noConversion"/>
  </si>
  <si>
    <t>공    과     금</t>
    <phoneticPr fontId="2" type="noConversion"/>
  </si>
  <si>
    <t>기  타  수  입</t>
    <phoneticPr fontId="2" type="noConversion"/>
  </si>
  <si>
    <t>운    영     비</t>
    <phoneticPr fontId="2" type="noConversion"/>
  </si>
  <si>
    <t>예  금  이  자</t>
    <phoneticPr fontId="3" type="noConversion"/>
  </si>
  <si>
    <t>사 무 &amp; 비 품</t>
    <phoneticPr fontId="2" type="noConversion"/>
  </si>
  <si>
    <t>차 량 유 지 비</t>
    <phoneticPr fontId="2" type="noConversion"/>
  </si>
  <si>
    <t>타 교 회 헌 금</t>
    <phoneticPr fontId="2" type="noConversion"/>
  </si>
  <si>
    <t>기  타  비  용</t>
    <phoneticPr fontId="3" type="noConversion"/>
  </si>
  <si>
    <t>대    여     금</t>
    <phoneticPr fontId="3" type="noConversion"/>
  </si>
  <si>
    <t>전  월  금</t>
    <phoneticPr fontId="2" type="noConversion"/>
  </si>
  <si>
    <t>(a+b-c)</t>
    <phoneticPr fontId="2" type="noConversion"/>
  </si>
  <si>
    <t>교회학교</t>
    <phoneticPr fontId="2" type="noConversion"/>
  </si>
  <si>
    <t>후원회비</t>
    <phoneticPr fontId="2" type="noConversion"/>
  </si>
  <si>
    <t>교회학교후원비</t>
    <phoneticPr fontId="3" type="noConversion"/>
  </si>
  <si>
    <t>교회학교권역집회</t>
    <phoneticPr fontId="2" type="noConversion"/>
  </si>
  <si>
    <t>차  입  금</t>
    <phoneticPr fontId="2" type="noConversion"/>
  </si>
  <si>
    <t>건  축  헌  금</t>
    <phoneticPr fontId="2" type="noConversion"/>
  </si>
  <si>
    <t>원  금  상  환</t>
    <phoneticPr fontId="3" type="noConversion"/>
  </si>
  <si>
    <t>예  금  이  자</t>
  </si>
  <si>
    <t>대  출  이  자</t>
    <phoneticPr fontId="3" type="noConversion"/>
  </si>
  <si>
    <t>사 랑 의 헌 금</t>
    <phoneticPr fontId="2" type="noConversion"/>
  </si>
  <si>
    <t>전 도 지 원 비</t>
    <phoneticPr fontId="2" type="noConversion"/>
  </si>
  <si>
    <t>경  조  사  비</t>
    <phoneticPr fontId="2" type="noConversion"/>
  </si>
  <si>
    <t>기  타  비  용</t>
    <phoneticPr fontId="2" type="noConversion"/>
  </si>
  <si>
    <t>선  교  회  비</t>
    <phoneticPr fontId="2" type="noConversion"/>
  </si>
  <si>
    <t>세계 선교회비</t>
    <phoneticPr fontId="2" type="noConversion"/>
  </si>
  <si>
    <t>국내선교</t>
    <phoneticPr fontId="2" type="noConversion"/>
  </si>
  <si>
    <t xml:space="preserve">전체  </t>
    <phoneticPr fontId="2" type="noConversion"/>
  </si>
  <si>
    <t>Ⅱ 회별 헌금 참여 현황</t>
    <phoneticPr fontId="2" type="noConversion"/>
  </si>
  <si>
    <t>국내선교</t>
    <phoneticPr fontId="2" type="noConversion"/>
  </si>
  <si>
    <t>국내선교</t>
    <phoneticPr fontId="2" type="noConversion"/>
  </si>
  <si>
    <t>카페수익금</t>
    <phoneticPr fontId="2" type="noConversion"/>
  </si>
  <si>
    <t>수입,지출 원장 (일반,후원,사랑,선교,건축,해외후원,국내선교)</t>
    <phoneticPr fontId="2" type="noConversion"/>
  </si>
  <si>
    <t>국내 선교비</t>
    <phoneticPr fontId="3" type="noConversion"/>
  </si>
  <si>
    <t>카페수익금</t>
    <phoneticPr fontId="2" type="noConversion"/>
  </si>
  <si>
    <t xml:space="preserve"> 단위 : 천원</t>
    <phoneticPr fontId="2" type="noConversion"/>
  </si>
  <si>
    <t>기타</t>
    <phoneticPr fontId="2" type="noConversion"/>
  </si>
  <si>
    <t>2024'</t>
    <phoneticPr fontId="2" type="noConversion"/>
  </si>
  <si>
    <t>차입금</t>
    <phoneticPr fontId="2" type="noConversion"/>
  </si>
  <si>
    <t>기타 및 예금이자</t>
    <phoneticPr fontId="2" type="noConversion"/>
  </si>
  <si>
    <t>퀘존 특별헌금</t>
    <phoneticPr fontId="2" type="noConversion"/>
  </si>
  <si>
    <t>토지개발등</t>
    <phoneticPr fontId="3" type="noConversion"/>
  </si>
  <si>
    <t>기타(이자등)</t>
    <phoneticPr fontId="3" type="noConversion"/>
  </si>
  <si>
    <t xml:space="preserve"> </t>
    <phoneticPr fontId="2" type="noConversion"/>
  </si>
  <si>
    <t>24. 12월</t>
    <phoneticPr fontId="3" type="noConversion"/>
  </si>
  <si>
    <t>2025'</t>
    <phoneticPr fontId="2" type="noConversion"/>
  </si>
  <si>
    <t>세계선교분담금</t>
    <phoneticPr fontId="2" type="noConversion"/>
  </si>
  <si>
    <t>기타(반환금)</t>
    <phoneticPr fontId="2" type="noConversion"/>
  </si>
  <si>
    <t>승강기 헌금</t>
    <phoneticPr fontId="2" type="noConversion"/>
  </si>
  <si>
    <t>승  강  기</t>
    <phoneticPr fontId="3" type="noConversion"/>
  </si>
  <si>
    <t>세계선교 분담금</t>
    <phoneticPr fontId="3" type="noConversion"/>
  </si>
  <si>
    <t>승강기헌금</t>
    <phoneticPr fontId="2" type="noConversion"/>
  </si>
  <si>
    <t>승강기관련</t>
    <phoneticPr fontId="2" type="noConversion"/>
  </si>
  <si>
    <t xml:space="preserve">건축 대여금 회수 </t>
    <phoneticPr fontId="2" type="noConversion"/>
  </si>
  <si>
    <r>
      <rPr>
        <b/>
        <u val="double"/>
        <sz val="16"/>
        <color theme="0"/>
        <rFont val="맑은 고딕"/>
        <family val="3"/>
        <charset val="129"/>
        <scheme val="minor"/>
      </rPr>
      <t xml:space="preserve">                                    </t>
    </r>
    <r>
      <rPr>
        <b/>
        <u val="double"/>
        <sz val="16"/>
        <color theme="1"/>
        <rFont val="맑은 고딕"/>
        <family val="3"/>
        <charset val="129"/>
        <scheme val="minor"/>
      </rPr>
      <t>2025년 9월 결산</t>
    </r>
    <phoneticPr fontId="2" type="noConversion"/>
  </si>
  <si>
    <t>기타잡비(갈릴리 숙소 분담금)</t>
    <phoneticPr fontId="2" type="noConversion"/>
  </si>
  <si>
    <t>2025년  9월(3주) 주간 결산 보고</t>
    <phoneticPr fontId="2" type="noConversion"/>
  </si>
  <si>
    <t>작성일 : 2025-09-22</t>
    <phoneticPr fontId="2" type="noConversion"/>
  </si>
  <si>
    <t>수정일 : 2025-10-19</t>
    <phoneticPr fontId="2" type="noConversion"/>
  </si>
  <si>
    <t>기타(특별헌금)</t>
    <phoneticPr fontId="3" type="noConversion"/>
  </si>
  <si>
    <t>2025년 9월 회계 결산</t>
    <phoneticPr fontId="2" type="noConversion"/>
  </si>
  <si>
    <r>
      <rPr>
        <sz val="10"/>
        <rFont val="돋움"/>
        <family val="3"/>
        <charset val="129"/>
      </rPr>
      <t>작성일</t>
    </r>
    <r>
      <rPr>
        <sz val="10"/>
        <rFont val="Arial"/>
        <family val="2"/>
      </rPr>
      <t xml:space="preserve"> : 2025</t>
    </r>
    <r>
      <rPr>
        <sz val="10"/>
        <rFont val="돋움"/>
        <family val="3"/>
        <charset val="129"/>
      </rPr>
      <t>년</t>
    </r>
    <r>
      <rPr>
        <sz val="10"/>
        <rFont val="Arial"/>
        <family val="2"/>
      </rPr>
      <t xml:space="preserve"> 10</t>
    </r>
    <r>
      <rPr>
        <sz val="10"/>
        <rFont val="Arial Unicode MS"/>
        <family val="2"/>
        <charset val="129"/>
      </rPr>
      <t>월</t>
    </r>
    <r>
      <rPr>
        <sz val="10"/>
        <rFont val="Arial"/>
        <family val="2"/>
      </rPr>
      <t xml:space="preserve"> 19</t>
    </r>
    <r>
      <rPr>
        <sz val="10"/>
        <rFont val="Arial Unicode MS"/>
        <family val="2"/>
        <charset val="129"/>
      </rPr>
      <t>일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</si>
</sst>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1" formatCode="_-* #,##0_-;\-* #,##0_-;_-* &quot;-&quot;_-;_-@_-"/>
    <numFmt numFmtId="43" formatCode="_-* #,##0.00_-;\-* #,##0.00_-;_-* &quot;-&quot;??_-;_-@_-"/>
    <numFmt numFmtId="176" formatCode="_-* #,##0.000_-;\-* #,##0.000_-;_-* &quot;-&quot;_-;_-@_-"/>
    <numFmt numFmtId="177" formatCode="_-* #,##0.000_-;\-* #,##0.000_-;_-* &quot;-&quot;??_-;_-@_-"/>
    <numFmt numFmtId="178" formatCode="0.000"/>
    <numFmt numFmtId="179" formatCode="_(&quot;$&quot;* #,##0_);_(&quot;$&quot;* \(#,##0\);_(&quot;$&quot;* &quot;-&quot;_);_(@_)"/>
    <numFmt numFmtId="180" formatCode="_(* #,##0_);_(* \(#,##0\);_(* &quot;-&quot;_);_(@_)"/>
    <numFmt numFmtId="181" formatCode="_-* #,##0.00_-;\-* #,##0.00_-;_-* &quot;-&quot;_-;_-@_-"/>
  </numFmts>
  <fonts count="66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name val="맑은 고딕"/>
      <family val="3"/>
      <charset val="129"/>
    </font>
    <font>
      <sz val="10"/>
      <color theme="1"/>
      <name val="맑은 고딕"/>
      <family val="3"/>
      <charset val="129"/>
      <scheme val="minor"/>
    </font>
    <font>
      <sz val="10"/>
      <color theme="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0"/>
      <name val="돋움"/>
      <family val="3"/>
      <charset val="129"/>
    </font>
    <font>
      <b/>
      <sz val="14"/>
      <name val="Arial"/>
      <family val="2"/>
    </font>
    <font>
      <sz val="10"/>
      <name val="Arial"/>
      <family val="2"/>
    </font>
    <font>
      <sz val="11"/>
      <color theme="1"/>
      <name val="Arial"/>
      <family val="2"/>
    </font>
    <font>
      <b/>
      <sz val="14"/>
      <name val="맑은 고딕"/>
      <family val="3"/>
      <charset val="129"/>
    </font>
    <font>
      <b/>
      <sz val="10"/>
      <name val="맑은 고딕"/>
      <family val="3"/>
      <charset val="129"/>
    </font>
    <font>
      <b/>
      <sz val="10"/>
      <color theme="0"/>
      <name val="Arial"/>
      <family val="2"/>
    </font>
    <font>
      <b/>
      <sz val="10"/>
      <color theme="0"/>
      <name val="맑은 고딕"/>
      <family val="3"/>
      <charset val="129"/>
    </font>
    <font>
      <b/>
      <sz val="10"/>
      <color theme="1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b/>
      <sz val="10"/>
      <color theme="0"/>
      <name val="돋움"/>
      <family val="3"/>
      <charset val="129"/>
    </font>
    <font>
      <b/>
      <sz val="14"/>
      <color theme="1"/>
      <name val="맑은 고딕"/>
      <family val="3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name val="돋움"/>
      <family val="3"/>
      <charset val="129"/>
    </font>
    <font>
      <sz val="11"/>
      <color indexed="8"/>
      <name val="맑은 고딕"/>
      <family val="3"/>
      <charset val="129"/>
    </font>
    <font>
      <sz val="9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9"/>
      <color theme="1"/>
      <name val="Arial"/>
      <family val="2"/>
    </font>
    <font>
      <sz val="6"/>
      <name val="맑은 고딕"/>
      <family val="3"/>
      <charset val="129"/>
    </font>
    <font>
      <sz val="8"/>
      <color theme="1"/>
      <name val="맑은 고딕"/>
      <family val="3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b/>
      <sz val="22"/>
      <color theme="1"/>
      <name val="맑은 고딕"/>
      <family val="3"/>
      <charset val="129"/>
      <scheme val="minor"/>
    </font>
    <font>
      <b/>
      <u val="double"/>
      <sz val="26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</font>
    <font>
      <b/>
      <u val="double"/>
      <sz val="16"/>
      <color theme="1"/>
      <name val="맑은 고딕"/>
      <family val="3"/>
      <charset val="129"/>
      <scheme val="minor"/>
    </font>
    <font>
      <sz val="9"/>
      <color theme="1"/>
      <name val="돋움"/>
      <family val="3"/>
      <charset val="129"/>
    </font>
    <font>
      <b/>
      <sz val="10"/>
      <color rgb="FFFF0000"/>
      <name val="맑은 고딕"/>
      <family val="3"/>
      <charset val="129"/>
    </font>
    <font>
      <sz val="12"/>
      <name val="맑은 고딕"/>
      <family val="3"/>
      <charset val="129"/>
    </font>
    <font>
      <i/>
      <sz val="10"/>
      <color theme="1" tint="0.249977111117893"/>
      <name val="맑은 고딕"/>
      <family val="3"/>
      <charset val="129"/>
    </font>
    <font>
      <i/>
      <sz val="10"/>
      <color theme="1" tint="0.249977111117893"/>
      <name val="맑은 고딕"/>
      <family val="3"/>
      <charset val="129"/>
      <scheme val="minor"/>
    </font>
    <font>
      <sz val="10"/>
      <color theme="1" tint="0.249977111117893"/>
      <name val="맑은 고딕"/>
      <family val="3"/>
      <charset val="129"/>
      <scheme val="minor"/>
    </font>
    <font>
      <b/>
      <u val="double"/>
      <sz val="16"/>
      <color theme="0"/>
      <name val="맑은 고딕"/>
      <family val="3"/>
      <charset val="129"/>
      <scheme val="minor"/>
    </font>
    <font>
      <sz val="8"/>
      <color theme="1" tint="0.249977111117893"/>
      <name val="맑은 고딕"/>
      <family val="3"/>
      <charset val="129"/>
    </font>
    <font>
      <sz val="8"/>
      <color theme="1" tint="0.249977111117893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sz val="10"/>
      <color rgb="FF0070C0"/>
      <name val="맑은 고딕"/>
      <family val="3"/>
      <charset val="129"/>
    </font>
    <font>
      <sz val="10"/>
      <name val="Arial"/>
      <family val="3"/>
      <charset val="129"/>
    </font>
    <font>
      <sz val="9"/>
      <color theme="1" tint="0.249977111117893"/>
      <name val="맑은 고딕"/>
      <family val="3"/>
      <charset val="129"/>
    </font>
    <font>
      <sz val="9"/>
      <name val="맑은 고딕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</font>
    <font>
      <sz val="11"/>
      <color rgb="FF000000"/>
      <name val="돋움"/>
      <family val="3"/>
      <charset val="129"/>
    </font>
    <font>
      <sz val="6"/>
      <color theme="0"/>
      <name val="맑은 고딕"/>
      <family val="3"/>
      <charset val="129"/>
      <scheme val="minor"/>
    </font>
    <font>
      <sz val="10"/>
      <name val="Arial Unicode MS"/>
      <family val="2"/>
      <charset val="129"/>
    </font>
    <font>
      <sz val="10"/>
      <color rgb="FF000000"/>
      <name val="Arial"/>
      <family val="2"/>
    </font>
    <font>
      <sz val="10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sz val="7"/>
      <color rgb="FF000000"/>
      <name val="맑은 고딕"/>
      <family val="3"/>
      <charset val="129"/>
    </font>
    <font>
      <sz val="7"/>
      <color theme="1"/>
      <name val="맑은 고딕"/>
      <family val="3"/>
      <charset val="129"/>
      <scheme val="minor"/>
    </font>
    <font>
      <sz val="14"/>
      <name val="맑은 고딕"/>
      <family val="3"/>
      <charset val="129"/>
    </font>
    <font>
      <sz val="14"/>
      <color theme="1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9D9D9"/>
        <bgColor indexed="64"/>
      </patternFill>
    </fill>
  </fills>
  <borders count="14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/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 style="medium">
        <color indexed="64"/>
      </bottom>
      <diagonal/>
    </border>
    <border>
      <left/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ash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ashed">
        <color indexed="64"/>
      </top>
      <bottom style="medium">
        <color indexed="64"/>
      </bottom>
      <diagonal/>
    </border>
    <border>
      <left style="medium">
        <color indexed="64"/>
      </left>
      <right/>
      <top style="dashed">
        <color indexed="64"/>
      </top>
      <bottom style="medium">
        <color indexed="64"/>
      </bottom>
      <diagonal/>
    </border>
    <border>
      <left/>
      <right style="thin">
        <color indexed="64"/>
      </right>
      <top style="dashed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ashed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double">
        <color indexed="64"/>
      </top>
      <bottom style="dashed">
        <color indexed="64"/>
      </bottom>
      <diagonal/>
    </border>
    <border>
      <left/>
      <right style="thin">
        <color indexed="64"/>
      </right>
      <top style="double">
        <color indexed="64"/>
      </top>
      <bottom style="dashed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dashed">
        <color indexed="64"/>
      </top>
      <bottom style="double">
        <color indexed="64"/>
      </bottom>
      <diagonal/>
    </border>
    <border>
      <left/>
      <right style="thin">
        <color indexed="64"/>
      </right>
      <top style="dashed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/>
      <diagonal/>
    </border>
    <border>
      <left style="medium">
        <color indexed="64"/>
      </left>
      <right style="thin">
        <color indexed="64"/>
      </right>
      <top style="dashed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double">
        <color indexed="64"/>
      </top>
      <bottom style="hair">
        <color indexed="64"/>
      </bottom>
      <diagonal/>
    </border>
    <border>
      <left/>
      <right style="thin">
        <color indexed="64"/>
      </right>
      <top style="double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ashed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6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3" fillId="0" borderId="0">
      <alignment vertical="center"/>
    </xf>
    <xf numFmtId="41" fontId="25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9" fontId="23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25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23" fillId="0" borderId="0">
      <alignment vertical="center"/>
    </xf>
    <xf numFmtId="179" fontId="10" fillId="0" borderId="0" applyFont="0" applyFill="0" applyBorder="0" applyAlignment="0" applyProtection="0"/>
    <xf numFmtId="180" fontId="10" fillId="0" borderId="0" applyFont="0" applyFill="0" applyBorder="0" applyAlignment="0" applyProtection="0"/>
    <xf numFmtId="0" fontId="10" fillId="0" borderId="0"/>
    <xf numFmtId="0" fontId="23" fillId="0" borderId="0">
      <alignment vertical="center"/>
    </xf>
    <xf numFmtId="0" fontId="55" fillId="0" borderId="0">
      <alignment vertical="center"/>
    </xf>
  </cellStyleXfs>
  <cellXfs count="47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41" fontId="5" fillId="0" borderId="2" xfId="1" applyFont="1" applyBorder="1" applyAlignment="1">
      <alignment vertical="center" shrinkToFit="1"/>
    </xf>
    <xf numFmtId="41" fontId="4" fillId="0" borderId="12" xfId="1" applyFont="1" applyBorder="1" applyAlignment="1">
      <alignment horizontal="center" vertical="center"/>
    </xf>
    <xf numFmtId="41" fontId="4" fillId="0" borderId="12" xfId="1" applyFont="1" applyBorder="1" applyAlignment="1">
      <alignment horizontal="center" vertical="center" shrinkToFit="1"/>
    </xf>
    <xf numFmtId="41" fontId="4" fillId="0" borderId="2" xfId="1" applyFont="1" applyBorder="1" applyAlignment="1">
      <alignment horizontal="center" vertical="center" shrinkToFit="1"/>
    </xf>
    <xf numFmtId="41" fontId="4" fillId="0" borderId="10" xfId="1" applyFont="1" applyBorder="1" applyAlignment="1">
      <alignment horizontal="center" vertical="center" shrinkToFit="1"/>
    </xf>
    <xf numFmtId="0" fontId="5" fillId="0" borderId="19" xfId="0" applyFont="1" applyBorder="1" applyAlignment="1">
      <alignment horizontal="center" vertical="center" shrinkToFit="1"/>
    </xf>
    <xf numFmtId="41" fontId="4" fillId="0" borderId="21" xfId="1" applyFont="1" applyBorder="1" applyAlignment="1">
      <alignment horizontal="center" vertical="center" shrinkToFit="1"/>
    </xf>
    <xf numFmtId="0" fontId="5" fillId="0" borderId="0" xfId="0" applyFont="1" applyAlignment="1">
      <alignment vertical="center" shrinkToFit="1"/>
    </xf>
    <xf numFmtId="0" fontId="5" fillId="0" borderId="21" xfId="0" applyFont="1" applyBorder="1" applyAlignment="1">
      <alignment horizontal="center" vertical="center"/>
    </xf>
    <xf numFmtId="41" fontId="5" fillId="0" borderId="23" xfId="1" applyFont="1" applyBorder="1" applyAlignment="1">
      <alignment horizontal="center" vertical="center" shrinkToFit="1"/>
    </xf>
    <xf numFmtId="0" fontId="9" fillId="0" borderId="0" xfId="0" applyFont="1">
      <alignment vertical="center"/>
    </xf>
    <xf numFmtId="0" fontId="10" fillId="0" borderId="0" xfId="0" applyFont="1">
      <alignment vertical="center"/>
    </xf>
    <xf numFmtId="0" fontId="11" fillId="0" borderId="0" xfId="0" applyFont="1">
      <alignment vertical="center"/>
    </xf>
    <xf numFmtId="41" fontId="10" fillId="0" borderId="2" xfId="1" applyFont="1" applyBorder="1" applyAlignment="1">
      <alignment vertical="center" shrinkToFit="1"/>
    </xf>
    <xf numFmtId="41" fontId="10" fillId="0" borderId="3" xfId="1" applyFont="1" applyBorder="1" applyAlignment="1">
      <alignment vertical="center" shrinkToFit="1"/>
    </xf>
    <xf numFmtId="14" fontId="10" fillId="0" borderId="0" xfId="0" applyNumberFormat="1" applyFont="1">
      <alignment vertical="center"/>
    </xf>
    <xf numFmtId="0" fontId="10" fillId="0" borderId="0" xfId="0" applyFont="1" applyAlignment="1">
      <alignment horizontal="right" vertical="center"/>
    </xf>
    <xf numFmtId="0" fontId="14" fillId="2" borderId="6" xfId="0" applyFont="1" applyFill="1" applyBorder="1" applyAlignment="1">
      <alignment horizontal="center" vertical="center"/>
    </xf>
    <xf numFmtId="0" fontId="14" fillId="2" borderId="7" xfId="0" applyFont="1" applyFill="1" applyBorder="1" applyAlignment="1">
      <alignment horizontal="center" vertical="center"/>
    </xf>
    <xf numFmtId="41" fontId="10" fillId="0" borderId="5" xfId="1" applyFont="1" applyBorder="1" applyAlignment="1">
      <alignment vertical="center" shrinkToFit="1"/>
    </xf>
    <xf numFmtId="0" fontId="16" fillId="0" borderId="0" xfId="0" applyFont="1">
      <alignment vertical="center"/>
    </xf>
    <xf numFmtId="41" fontId="4" fillId="0" borderId="0" xfId="1" applyFont="1" applyBorder="1" applyAlignment="1">
      <alignment horizontal="center" vertical="center" shrinkToFit="1"/>
    </xf>
    <xf numFmtId="41" fontId="0" fillId="0" borderId="0" xfId="1" applyFont="1">
      <alignment vertical="center"/>
    </xf>
    <xf numFmtId="41" fontId="5" fillId="0" borderId="0" xfId="1" applyFont="1" applyBorder="1" applyAlignment="1">
      <alignment horizontal="center" vertical="center" shrinkToFit="1"/>
    </xf>
    <xf numFmtId="41" fontId="4" fillId="0" borderId="9" xfId="1" applyFont="1" applyBorder="1" applyAlignment="1">
      <alignment horizontal="center" vertical="center" shrinkToFit="1"/>
    </xf>
    <xf numFmtId="41" fontId="5" fillId="0" borderId="33" xfId="1" applyFont="1" applyBorder="1" applyAlignment="1">
      <alignment horizontal="center" vertical="center" shrinkToFit="1"/>
    </xf>
    <xf numFmtId="41" fontId="4" fillId="0" borderId="33" xfId="1" applyFont="1" applyBorder="1" applyAlignment="1">
      <alignment horizontal="center" vertical="center" shrinkToFit="1"/>
    </xf>
    <xf numFmtId="41" fontId="4" fillId="0" borderId="34" xfId="1" applyFont="1" applyBorder="1" applyAlignment="1">
      <alignment vertical="center" shrinkToFit="1"/>
    </xf>
    <xf numFmtId="41" fontId="4" fillId="0" borderId="36" xfId="1" applyFont="1" applyBorder="1" applyAlignment="1">
      <alignment vertical="center" shrinkToFit="1"/>
    </xf>
    <xf numFmtId="0" fontId="17" fillId="0" borderId="0" xfId="0" applyFont="1">
      <alignment vertical="center"/>
    </xf>
    <xf numFmtId="0" fontId="19" fillId="0" borderId="0" xfId="0" applyFont="1">
      <alignment vertical="center"/>
    </xf>
    <xf numFmtId="41" fontId="21" fillId="0" borderId="2" xfId="1" applyFont="1" applyBorder="1" applyAlignment="1">
      <alignment vertical="center" shrinkToFit="1"/>
    </xf>
    <xf numFmtId="41" fontId="5" fillId="0" borderId="20" xfId="1" applyFont="1" applyBorder="1" applyAlignment="1">
      <alignment vertical="center" shrinkToFit="1"/>
    </xf>
    <xf numFmtId="41" fontId="5" fillId="0" borderId="0" xfId="1" applyFont="1" applyBorder="1" applyAlignment="1">
      <alignment vertical="center" shrinkToFit="1"/>
    </xf>
    <xf numFmtId="41" fontId="5" fillId="0" borderId="51" xfId="1" applyFont="1" applyBorder="1" applyAlignment="1">
      <alignment horizontal="center" vertical="center" shrinkToFit="1"/>
    </xf>
    <xf numFmtId="41" fontId="5" fillId="0" borderId="3" xfId="1" applyFont="1" applyBorder="1" applyAlignment="1">
      <alignment vertical="center" shrinkToFit="1"/>
    </xf>
    <xf numFmtId="0" fontId="21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41" fontId="21" fillId="0" borderId="0" xfId="1" applyFont="1" applyBorder="1" applyAlignment="1">
      <alignment vertical="center" shrinkToFit="1"/>
    </xf>
    <xf numFmtId="176" fontId="21" fillId="0" borderId="2" xfId="1" applyNumberFormat="1" applyFont="1" applyBorder="1" applyAlignment="1">
      <alignment vertical="center" shrinkToFit="1"/>
    </xf>
    <xf numFmtId="41" fontId="10" fillId="0" borderId="10" xfId="1" applyFont="1" applyBorder="1" applyAlignment="1">
      <alignment vertical="center" shrinkToFit="1"/>
    </xf>
    <xf numFmtId="41" fontId="0" fillId="0" borderId="0" xfId="1" applyFont="1" applyAlignment="1">
      <alignment horizontal="center" vertical="center"/>
    </xf>
    <xf numFmtId="41" fontId="0" fillId="0" borderId="0" xfId="0" applyNumberFormat="1">
      <alignment vertical="center"/>
    </xf>
    <xf numFmtId="41" fontId="5" fillId="0" borderId="11" xfId="1" applyFont="1" applyBorder="1" applyAlignment="1">
      <alignment vertical="center" shrinkToFit="1"/>
    </xf>
    <xf numFmtId="41" fontId="5" fillId="0" borderId="24" xfId="1" applyFont="1" applyBorder="1" applyAlignment="1">
      <alignment horizontal="center" vertical="center" shrinkToFit="1"/>
    </xf>
    <xf numFmtId="41" fontId="13" fillId="0" borderId="56" xfId="1" applyFont="1" applyBorder="1" applyAlignment="1">
      <alignment horizontal="center" vertical="center" shrinkToFit="1"/>
    </xf>
    <xf numFmtId="0" fontId="28" fillId="0" borderId="2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 shrinkToFit="1"/>
    </xf>
    <xf numFmtId="41" fontId="5" fillId="0" borderId="13" xfId="1" applyFont="1" applyBorder="1" applyAlignment="1">
      <alignment vertical="center" shrinkToFit="1"/>
    </xf>
    <xf numFmtId="0" fontId="5" fillId="0" borderId="70" xfId="0" applyFont="1" applyBorder="1" applyAlignment="1">
      <alignment vertical="center" shrinkToFit="1"/>
    </xf>
    <xf numFmtId="0" fontId="5" fillId="0" borderId="70" xfId="0" applyFont="1" applyBorder="1" applyAlignment="1">
      <alignment horizontal="center" vertical="center"/>
    </xf>
    <xf numFmtId="41" fontId="4" fillId="0" borderId="38" xfId="1" applyFont="1" applyBorder="1" applyAlignment="1">
      <alignment vertical="center" shrinkToFit="1"/>
    </xf>
    <xf numFmtId="0" fontId="5" fillId="0" borderId="58" xfId="0" applyFont="1" applyBorder="1">
      <alignment vertical="center"/>
    </xf>
    <xf numFmtId="0" fontId="5" fillId="0" borderId="70" xfId="0" applyFont="1" applyBorder="1">
      <alignment vertical="center"/>
    </xf>
    <xf numFmtId="41" fontId="5" fillId="0" borderId="50" xfId="1" applyFont="1" applyBorder="1" applyAlignment="1">
      <alignment vertical="center" shrinkToFit="1"/>
    </xf>
    <xf numFmtId="41" fontId="5" fillId="0" borderId="19" xfId="1" applyFont="1" applyBorder="1" applyAlignment="1">
      <alignment vertical="center" shrinkToFit="1"/>
    </xf>
    <xf numFmtId="41" fontId="4" fillId="0" borderId="63" xfId="1" applyFont="1" applyBorder="1" applyAlignment="1">
      <alignment horizontal="center" vertical="distributed" shrinkToFit="1"/>
    </xf>
    <xf numFmtId="41" fontId="4" fillId="0" borderId="14" xfId="1" applyFont="1" applyBorder="1" applyAlignment="1">
      <alignment horizontal="center" vertical="distributed" shrinkToFit="1"/>
    </xf>
    <xf numFmtId="41" fontId="4" fillId="0" borderId="71" xfId="1" applyFont="1" applyBorder="1" applyAlignment="1">
      <alignment horizontal="center" vertical="center"/>
    </xf>
    <xf numFmtId="41" fontId="4" fillId="0" borderId="63" xfId="1" applyFont="1" applyBorder="1" applyAlignment="1">
      <alignment horizontal="center" vertical="center"/>
    </xf>
    <xf numFmtId="41" fontId="4" fillId="0" borderId="63" xfId="1" applyFont="1" applyBorder="1" applyAlignment="1">
      <alignment horizontal="center" vertical="center" shrinkToFit="1"/>
    </xf>
    <xf numFmtId="41" fontId="4" fillId="0" borderId="14" xfId="1" applyFont="1" applyBorder="1" applyAlignment="1">
      <alignment horizontal="center" vertical="center"/>
    </xf>
    <xf numFmtId="41" fontId="4" fillId="0" borderId="60" xfId="1" applyFont="1" applyBorder="1" applyAlignment="1">
      <alignment horizontal="center" vertical="center" shrinkToFit="1"/>
    </xf>
    <xf numFmtId="41" fontId="5" fillId="0" borderId="68" xfId="1" applyFont="1" applyBorder="1" applyAlignment="1">
      <alignment vertical="center" shrinkToFit="1"/>
    </xf>
    <xf numFmtId="0" fontId="20" fillId="0" borderId="68" xfId="0" applyFont="1" applyBorder="1" applyAlignment="1">
      <alignment horizontal="center" vertical="center"/>
    </xf>
    <xf numFmtId="41" fontId="20" fillId="0" borderId="68" xfId="1" applyFont="1" applyFill="1" applyBorder="1" applyAlignment="1">
      <alignment horizontal="center" vertical="center"/>
    </xf>
    <xf numFmtId="41" fontId="5" fillId="0" borderId="68" xfId="1" applyFont="1" applyFill="1" applyBorder="1" applyAlignment="1">
      <alignment vertical="center" shrinkToFit="1"/>
    </xf>
    <xf numFmtId="41" fontId="5" fillId="0" borderId="68" xfId="1" applyFont="1" applyFill="1" applyBorder="1" applyAlignment="1">
      <alignment horizontal="center" vertical="center" shrinkToFit="1"/>
    </xf>
    <xf numFmtId="41" fontId="16" fillId="0" borderId="68" xfId="1" applyFont="1" applyFill="1" applyBorder="1" applyAlignment="1">
      <alignment horizontal="center" vertical="center" shrinkToFit="1"/>
    </xf>
    <xf numFmtId="41" fontId="4" fillId="0" borderId="73" xfId="1" applyFont="1" applyBorder="1" applyAlignment="1">
      <alignment horizontal="center" vertical="center" shrinkToFit="1"/>
    </xf>
    <xf numFmtId="41" fontId="5" fillId="0" borderId="73" xfId="1" applyFont="1" applyBorder="1" applyAlignment="1">
      <alignment vertical="center" shrinkToFit="1"/>
    </xf>
    <xf numFmtId="41" fontId="5" fillId="0" borderId="74" xfId="1" applyFont="1" applyBorder="1" applyAlignment="1">
      <alignment vertical="center" shrinkToFit="1"/>
    </xf>
    <xf numFmtId="41" fontId="4" fillId="0" borderId="75" xfId="1" applyFont="1" applyBorder="1" applyAlignment="1">
      <alignment horizontal="center" vertical="distributed" shrinkToFit="1"/>
    </xf>
    <xf numFmtId="0" fontId="20" fillId="2" borderId="76" xfId="0" applyFont="1" applyFill="1" applyBorder="1" applyAlignment="1">
      <alignment horizontal="center" vertical="center"/>
    </xf>
    <xf numFmtId="41" fontId="20" fillId="2" borderId="78" xfId="1" applyFont="1" applyFill="1" applyBorder="1" applyAlignment="1">
      <alignment horizontal="center" vertical="center"/>
    </xf>
    <xf numFmtId="41" fontId="4" fillId="0" borderId="74" xfId="1" applyFont="1" applyBorder="1" applyAlignment="1">
      <alignment horizontal="center" vertical="center" shrinkToFit="1"/>
    </xf>
    <xf numFmtId="41" fontId="4" fillId="0" borderId="50" xfId="1" applyFont="1" applyBorder="1" applyAlignment="1">
      <alignment horizontal="center" vertical="center" shrinkToFit="1"/>
    </xf>
    <xf numFmtId="41" fontId="4" fillId="0" borderId="49" xfId="1" applyFont="1" applyBorder="1" applyAlignment="1">
      <alignment horizontal="center" vertical="center" shrinkToFit="1"/>
    </xf>
    <xf numFmtId="41" fontId="4" fillId="0" borderId="14" xfId="1" applyFont="1" applyBorder="1" applyAlignment="1">
      <alignment horizontal="center" vertical="center" shrinkToFit="1"/>
    </xf>
    <xf numFmtId="41" fontId="4" fillId="0" borderId="71" xfId="1" applyFont="1" applyBorder="1" applyAlignment="1">
      <alignment horizontal="center" vertical="center" shrinkToFit="1"/>
    </xf>
    <xf numFmtId="41" fontId="4" fillId="0" borderId="68" xfId="1" applyFont="1" applyFill="1" applyBorder="1" applyAlignment="1">
      <alignment horizontal="center" vertical="center" shrinkToFit="1"/>
    </xf>
    <xf numFmtId="41" fontId="13" fillId="0" borderId="68" xfId="1" applyFont="1" applyFill="1" applyBorder="1" applyAlignment="1">
      <alignment horizontal="center" vertical="center" shrinkToFit="1"/>
    </xf>
    <xf numFmtId="41" fontId="5" fillId="0" borderId="0" xfId="1" applyFont="1" applyFill="1" applyBorder="1" applyAlignment="1">
      <alignment horizontal="center" vertical="center" shrinkToFit="1"/>
    </xf>
    <xf numFmtId="41" fontId="4" fillId="0" borderId="0" xfId="1" applyFont="1" applyBorder="1" applyAlignment="1">
      <alignment horizontal="center" textRotation="255" shrinkToFit="1"/>
    </xf>
    <xf numFmtId="41" fontId="16" fillId="0" borderId="0" xfId="1" applyFont="1" applyFill="1" applyBorder="1" applyAlignment="1">
      <alignment horizontal="center" vertical="center" shrinkToFit="1"/>
    </xf>
    <xf numFmtId="41" fontId="4" fillId="0" borderId="0" xfId="1" applyFont="1" applyBorder="1" applyAlignment="1">
      <alignment vertical="center" shrinkToFit="1"/>
    </xf>
    <xf numFmtId="41" fontId="4" fillId="0" borderId="0" xfId="1" applyFont="1" applyFill="1" applyBorder="1" applyAlignment="1">
      <alignment horizontal="center" vertical="center" shrinkToFit="1"/>
    </xf>
    <xf numFmtId="41" fontId="0" fillId="0" borderId="0" xfId="1" applyFont="1" applyFill="1">
      <alignment vertical="center"/>
    </xf>
    <xf numFmtId="41" fontId="27" fillId="0" borderId="0" xfId="1" applyFont="1">
      <alignment vertical="center"/>
    </xf>
    <xf numFmtId="41" fontId="4" fillId="0" borderId="75" xfId="1" applyFont="1" applyFill="1" applyBorder="1" applyAlignment="1">
      <alignment horizontal="center" vertical="center" shrinkToFit="1"/>
    </xf>
    <xf numFmtId="41" fontId="4" fillId="0" borderId="63" xfId="1" applyFont="1" applyFill="1" applyBorder="1" applyAlignment="1">
      <alignment horizontal="center" vertical="center" shrinkToFit="1"/>
    </xf>
    <xf numFmtId="41" fontId="4" fillId="0" borderId="14" xfId="1" applyFont="1" applyFill="1" applyBorder="1" applyAlignment="1">
      <alignment horizontal="center" vertical="center" shrinkToFit="1"/>
    </xf>
    <xf numFmtId="41" fontId="4" fillId="0" borderId="71" xfId="1" applyFont="1" applyFill="1" applyBorder="1" applyAlignment="1">
      <alignment horizontal="center" vertical="center" shrinkToFit="1"/>
    </xf>
    <xf numFmtId="0" fontId="4" fillId="0" borderId="29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41" fontId="31" fillId="0" borderId="10" xfId="1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/>
    </xf>
    <xf numFmtId="0" fontId="4" fillId="0" borderId="45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34" fillId="0" borderId="0" xfId="0" applyFont="1">
      <alignment vertical="center"/>
    </xf>
    <xf numFmtId="0" fontId="34" fillId="0" borderId="18" xfId="0" applyFont="1" applyBorder="1" applyAlignment="1">
      <alignment horizontal="center" vertical="center"/>
    </xf>
    <xf numFmtId="0" fontId="34" fillId="0" borderId="85" xfId="0" applyFont="1" applyBorder="1" applyAlignment="1">
      <alignment horizontal="center" vertical="center"/>
    </xf>
    <xf numFmtId="0" fontId="33" fillId="0" borderId="18" xfId="0" applyFont="1" applyBorder="1" applyAlignment="1">
      <alignment horizontal="center" vertical="center"/>
    </xf>
    <xf numFmtId="0" fontId="33" fillId="0" borderId="85" xfId="0" applyFont="1" applyBorder="1">
      <alignment vertical="center"/>
    </xf>
    <xf numFmtId="0" fontId="33" fillId="0" borderId="86" xfId="0" applyFont="1" applyBorder="1" applyAlignment="1">
      <alignment horizontal="center" vertical="center"/>
    </xf>
    <xf numFmtId="0" fontId="33" fillId="0" borderId="87" xfId="0" applyFont="1" applyBorder="1">
      <alignment vertical="center"/>
    </xf>
    <xf numFmtId="41" fontId="4" fillId="0" borderId="19" xfId="1" applyFont="1" applyBorder="1" applyAlignment="1">
      <alignment horizontal="center" vertical="center" shrinkToFit="1"/>
    </xf>
    <xf numFmtId="41" fontId="5" fillId="0" borderId="28" xfId="1" applyFont="1" applyBorder="1" applyAlignment="1">
      <alignment vertical="center" shrinkToFit="1"/>
    </xf>
    <xf numFmtId="0" fontId="7" fillId="0" borderId="0" xfId="0" applyFont="1">
      <alignment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41" fontId="5" fillId="0" borderId="44" xfId="0" applyNumberFormat="1" applyFont="1" applyBorder="1" applyAlignment="1">
      <alignment horizontal="center" vertical="center" shrinkToFit="1"/>
    </xf>
    <xf numFmtId="41" fontId="5" fillId="0" borderId="90" xfId="1" applyFont="1" applyBorder="1" applyAlignment="1">
      <alignment horizontal="center" vertical="center" shrinkToFit="1"/>
    </xf>
    <xf numFmtId="0" fontId="5" fillId="0" borderId="91" xfId="0" applyFont="1" applyBorder="1" applyAlignment="1">
      <alignment horizontal="center" vertical="center"/>
    </xf>
    <xf numFmtId="41" fontId="5" fillId="0" borderId="44" xfId="1" applyFont="1" applyBorder="1" applyAlignment="1">
      <alignment horizontal="center" vertical="center" shrinkToFit="1"/>
    </xf>
    <xf numFmtId="41" fontId="13" fillId="0" borderId="53" xfId="1" applyFont="1" applyBorder="1" applyAlignment="1">
      <alignment horizontal="center" vertical="center" shrinkToFit="1"/>
    </xf>
    <xf numFmtId="41" fontId="4" fillId="0" borderId="92" xfId="1" applyFont="1" applyBorder="1" applyAlignment="1">
      <alignment vertical="center" shrinkToFit="1"/>
    </xf>
    <xf numFmtId="41" fontId="4" fillId="0" borderId="93" xfId="1" applyFont="1" applyBorder="1" applyAlignment="1">
      <alignment vertical="center" shrinkToFit="1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178" fontId="0" fillId="0" borderId="0" xfId="0" applyNumberFormat="1">
      <alignment vertical="center"/>
    </xf>
    <xf numFmtId="41" fontId="4" fillId="0" borderId="31" xfId="1" applyFont="1" applyBorder="1" applyAlignment="1">
      <alignment vertical="center" shrinkToFit="1"/>
    </xf>
    <xf numFmtId="41" fontId="0" fillId="0" borderId="0" xfId="1" applyFont="1" applyBorder="1">
      <alignment vertical="center"/>
    </xf>
    <xf numFmtId="0" fontId="0" fillId="0" borderId="95" xfId="0" applyBorder="1" applyAlignment="1">
      <alignment horizontal="center" vertical="center"/>
    </xf>
    <xf numFmtId="0" fontId="0" fillId="0" borderId="35" xfId="0" applyBorder="1">
      <alignment vertical="center"/>
    </xf>
    <xf numFmtId="0" fontId="0" fillId="0" borderId="35" xfId="0" applyBorder="1" applyAlignment="1">
      <alignment horizontal="center" vertical="center"/>
    </xf>
    <xf numFmtId="41" fontId="4" fillId="0" borderId="87" xfId="1" applyFont="1" applyBorder="1" applyAlignment="1">
      <alignment vertical="center" shrinkToFit="1"/>
    </xf>
    <xf numFmtId="41" fontId="4" fillId="0" borderId="80" xfId="1" applyFont="1" applyFill="1" applyBorder="1" applyAlignment="1">
      <alignment horizontal="center" vertical="center" shrinkToFit="1"/>
    </xf>
    <xf numFmtId="41" fontId="5" fillId="0" borderId="102" xfId="1" applyFont="1" applyBorder="1" applyAlignment="1">
      <alignment horizontal="center" vertical="center" shrinkToFit="1"/>
    </xf>
    <xf numFmtId="41" fontId="13" fillId="0" borderId="69" xfId="1" applyFont="1" applyBorder="1" applyAlignment="1">
      <alignment horizontal="center" vertical="center" shrinkToFit="1"/>
    </xf>
    <xf numFmtId="41" fontId="13" fillId="0" borderId="15" xfId="1" applyFont="1" applyBorder="1" applyAlignment="1">
      <alignment horizontal="center" vertical="center" shrinkToFit="1"/>
    </xf>
    <xf numFmtId="41" fontId="5" fillId="0" borderId="111" xfId="1" applyFont="1" applyBorder="1" applyAlignment="1">
      <alignment horizontal="center" vertical="center" shrinkToFit="1"/>
    </xf>
    <xf numFmtId="0" fontId="5" fillId="0" borderId="110" xfId="0" applyFont="1" applyBorder="1" applyAlignment="1">
      <alignment horizontal="center" vertical="center"/>
    </xf>
    <xf numFmtId="0" fontId="30" fillId="0" borderId="0" xfId="0" applyFont="1">
      <alignment vertical="center"/>
    </xf>
    <xf numFmtId="0" fontId="30" fillId="0" borderId="35" xfId="0" applyFont="1" applyBorder="1" applyAlignment="1">
      <alignment horizontal="center" vertical="center"/>
    </xf>
    <xf numFmtId="41" fontId="30" fillId="0" borderId="35" xfId="0" applyNumberFormat="1" applyFont="1" applyBorder="1">
      <alignment vertical="center"/>
    </xf>
    <xf numFmtId="0" fontId="0" fillId="0" borderId="5" xfId="0" applyBorder="1" applyAlignment="1">
      <alignment horizontal="center" vertical="center"/>
    </xf>
    <xf numFmtId="41" fontId="40" fillId="0" borderId="92" xfId="1" applyFont="1" applyBorder="1" applyAlignment="1">
      <alignment horizontal="center" vertical="center" shrinkToFit="1"/>
    </xf>
    <xf numFmtId="41" fontId="37" fillId="0" borderId="93" xfId="1" applyFont="1" applyBorder="1" applyAlignment="1">
      <alignment horizontal="center" vertical="center" shrinkToFit="1"/>
    </xf>
    <xf numFmtId="41" fontId="40" fillId="0" borderId="67" xfId="1" applyFont="1" applyBorder="1" applyAlignment="1">
      <alignment horizontal="center" vertical="center" shrinkToFit="1"/>
    </xf>
    <xf numFmtId="41" fontId="40" fillId="0" borderId="54" xfId="1" applyFont="1" applyBorder="1" applyAlignment="1">
      <alignment horizontal="center" vertical="center" shrinkToFit="1"/>
    </xf>
    <xf numFmtId="0" fontId="0" fillId="0" borderId="2" xfId="0" applyBorder="1" applyAlignment="1">
      <alignment horizontal="center" vertical="center"/>
    </xf>
    <xf numFmtId="43" fontId="0" fillId="0" borderId="0" xfId="0" applyNumberFormat="1">
      <alignment vertical="center"/>
    </xf>
    <xf numFmtId="41" fontId="43" fillId="0" borderId="44" xfId="1" applyFont="1" applyFill="1" applyBorder="1" applyAlignment="1">
      <alignment horizontal="center" vertical="center" shrinkToFit="1"/>
    </xf>
    <xf numFmtId="41" fontId="42" fillId="0" borderId="73" xfId="1" applyFont="1" applyFill="1" applyBorder="1" applyAlignment="1">
      <alignment horizontal="center" vertical="center" shrinkToFit="1"/>
    </xf>
    <xf numFmtId="41" fontId="43" fillId="0" borderId="19" xfId="1" applyFont="1" applyFill="1" applyBorder="1" applyAlignment="1">
      <alignment vertical="center" shrinkToFit="1"/>
    </xf>
    <xf numFmtId="41" fontId="43" fillId="0" borderId="51" xfId="1" applyFont="1" applyFill="1" applyBorder="1" applyAlignment="1">
      <alignment horizontal="center" vertical="center" shrinkToFit="1"/>
    </xf>
    <xf numFmtId="41" fontId="43" fillId="0" borderId="10" xfId="1" applyFont="1" applyFill="1" applyBorder="1" applyAlignment="1">
      <alignment vertical="center" shrinkToFit="1"/>
    </xf>
    <xf numFmtId="41" fontId="43" fillId="0" borderId="59" xfId="1" applyFont="1" applyFill="1" applyBorder="1" applyAlignment="1">
      <alignment horizontal="center" vertical="center" shrinkToFit="1"/>
    </xf>
    <xf numFmtId="41" fontId="42" fillId="0" borderId="69" xfId="1" applyFont="1" applyFill="1" applyBorder="1" applyAlignment="1">
      <alignment horizontal="center" vertical="center" shrinkToFit="1"/>
    </xf>
    <xf numFmtId="41" fontId="43" fillId="0" borderId="2" xfId="1" applyFont="1" applyFill="1" applyBorder="1" applyAlignment="1">
      <alignment vertical="center" shrinkToFit="1"/>
    </xf>
    <xf numFmtId="41" fontId="43" fillId="0" borderId="23" xfId="1" applyFont="1" applyFill="1" applyBorder="1" applyAlignment="1">
      <alignment horizontal="center" vertical="center" shrinkToFit="1"/>
    </xf>
    <xf numFmtId="41" fontId="42" fillId="0" borderId="53" xfId="1" applyFont="1" applyFill="1" applyBorder="1" applyAlignment="1">
      <alignment horizontal="center" vertical="center" shrinkToFit="1"/>
    </xf>
    <xf numFmtId="41" fontId="5" fillId="0" borderId="13" xfId="1" applyFont="1" applyFill="1" applyBorder="1" applyAlignment="1">
      <alignment vertical="center" shrinkToFit="1"/>
    </xf>
    <xf numFmtId="41" fontId="5" fillId="0" borderId="3" xfId="1" applyFont="1" applyFill="1" applyBorder="1" applyAlignment="1">
      <alignment vertical="center" shrinkToFit="1"/>
    </xf>
    <xf numFmtId="41" fontId="5" fillId="0" borderId="11" xfId="1" applyFont="1" applyFill="1" applyBorder="1" applyAlignment="1">
      <alignment vertical="center" shrinkToFit="1"/>
    </xf>
    <xf numFmtId="41" fontId="4" fillId="0" borderId="82" xfId="1" applyFont="1" applyFill="1" applyBorder="1" applyAlignment="1">
      <alignment horizontal="center" vertical="center" shrinkToFit="1"/>
    </xf>
    <xf numFmtId="41" fontId="5" fillId="0" borderId="63" xfId="1" applyFont="1" applyBorder="1" applyAlignment="1">
      <alignment vertical="center" shrinkToFit="1"/>
    </xf>
    <xf numFmtId="41" fontId="13" fillId="4" borderId="55" xfId="1" applyFont="1" applyFill="1" applyBorder="1" applyAlignment="1">
      <alignment horizontal="center" vertical="center" shrinkToFit="1"/>
    </xf>
    <xf numFmtId="41" fontId="4" fillId="4" borderId="46" xfId="1" applyFont="1" applyFill="1" applyBorder="1" applyAlignment="1">
      <alignment horizontal="center" vertical="center" shrinkToFit="1"/>
    </xf>
    <xf numFmtId="41" fontId="4" fillId="4" borderId="37" xfId="1" applyFont="1" applyFill="1" applyBorder="1" applyAlignment="1">
      <alignment horizontal="center" vertical="center" shrinkToFit="1"/>
    </xf>
    <xf numFmtId="9" fontId="11" fillId="0" borderId="0" xfId="9" applyFont="1">
      <alignment vertical="center"/>
    </xf>
    <xf numFmtId="9" fontId="11" fillId="0" borderId="0" xfId="0" applyNumberFormat="1" applyFont="1">
      <alignment vertical="center"/>
    </xf>
    <xf numFmtId="41" fontId="4" fillId="0" borderId="12" xfId="1" applyFont="1" applyFill="1" applyBorder="1" applyAlignment="1">
      <alignment horizontal="center" vertical="center" shrinkToFit="1"/>
    </xf>
    <xf numFmtId="41" fontId="4" fillId="0" borderId="2" xfId="1" applyFont="1" applyFill="1" applyBorder="1" applyAlignment="1">
      <alignment horizontal="center" vertical="center" shrinkToFit="1"/>
    </xf>
    <xf numFmtId="41" fontId="5" fillId="0" borderId="44" xfId="1" applyFont="1" applyFill="1" applyBorder="1" applyAlignment="1">
      <alignment horizontal="center" vertical="center" shrinkToFit="1"/>
    </xf>
    <xf numFmtId="41" fontId="4" fillId="0" borderId="10" xfId="1" applyFont="1" applyFill="1" applyBorder="1" applyAlignment="1">
      <alignment horizontal="center" vertical="center" shrinkToFit="1"/>
    </xf>
    <xf numFmtId="41" fontId="5" fillId="0" borderId="23" xfId="1" applyFont="1" applyFill="1" applyBorder="1" applyAlignment="1">
      <alignment horizontal="center" vertical="center" shrinkToFit="1"/>
    </xf>
    <xf numFmtId="41" fontId="5" fillId="0" borderId="10" xfId="1" applyFont="1" applyFill="1" applyBorder="1" applyAlignment="1">
      <alignment horizontal="center" vertical="center" shrinkToFit="1"/>
    </xf>
    <xf numFmtId="0" fontId="7" fillId="0" borderId="31" xfId="0" applyFont="1" applyBorder="1">
      <alignment vertical="center"/>
    </xf>
    <xf numFmtId="0" fontId="27" fillId="0" borderId="0" xfId="0" applyFont="1" applyAlignment="1">
      <alignment horizontal="left" vertical="top"/>
    </xf>
    <xf numFmtId="0" fontId="0" fillId="0" borderId="73" xfId="0" applyBorder="1" applyAlignment="1">
      <alignment horizontal="center" vertical="center"/>
    </xf>
    <xf numFmtId="41" fontId="49" fillId="0" borderId="106" xfId="1" applyFont="1" applyFill="1" applyBorder="1" applyAlignment="1">
      <alignment vertical="center" shrinkToFit="1"/>
    </xf>
    <xf numFmtId="41" fontId="43" fillId="0" borderId="100" xfId="1" applyFont="1" applyFill="1" applyBorder="1" applyAlignment="1">
      <alignment horizontal="center" vertical="center" shrinkToFit="1"/>
    </xf>
    <xf numFmtId="41" fontId="5" fillId="0" borderId="1" xfId="1" applyFont="1" applyBorder="1" applyAlignment="1">
      <alignment vertical="center" shrinkToFit="1"/>
    </xf>
    <xf numFmtId="41" fontId="4" fillId="0" borderId="39" xfId="1" applyFont="1" applyBorder="1" applyAlignment="1">
      <alignment horizontal="center" vertical="center" shrinkToFit="1"/>
    </xf>
    <xf numFmtId="41" fontId="5" fillId="0" borderId="22" xfId="1" applyFont="1" applyBorder="1" applyAlignment="1">
      <alignment horizontal="center" vertical="center" shrinkToFit="1"/>
    </xf>
    <xf numFmtId="41" fontId="5" fillId="0" borderId="52" xfId="1" applyFont="1" applyBorder="1" applyAlignment="1">
      <alignment vertical="center" shrinkToFit="1"/>
    </xf>
    <xf numFmtId="41" fontId="5" fillId="0" borderId="72" xfId="1" applyFont="1" applyBorder="1" applyAlignment="1">
      <alignment horizontal="center" vertical="center" shrinkToFit="1"/>
    </xf>
    <xf numFmtId="41" fontId="13" fillId="0" borderId="54" xfId="1" applyFont="1" applyBorder="1" applyAlignment="1">
      <alignment horizontal="center" vertical="center" shrinkToFit="1"/>
    </xf>
    <xf numFmtId="41" fontId="13" fillId="0" borderId="67" xfId="1" applyFont="1" applyBorder="1" applyAlignment="1">
      <alignment horizontal="center" vertical="center" shrinkToFit="1"/>
    </xf>
    <xf numFmtId="41" fontId="13" fillId="5" borderId="106" xfId="1" applyFont="1" applyFill="1" applyBorder="1" applyAlignment="1">
      <alignment vertical="center" shrinkToFit="1"/>
    </xf>
    <xf numFmtId="41" fontId="4" fillId="5" borderId="105" xfId="1" applyFont="1" applyFill="1" applyBorder="1" applyAlignment="1">
      <alignment horizontal="center" vertical="center" shrinkToFit="1"/>
    </xf>
    <xf numFmtId="41" fontId="46" fillId="5" borderId="106" xfId="1" applyFont="1" applyFill="1" applyBorder="1" applyAlignment="1">
      <alignment vertical="center" shrinkToFit="1"/>
    </xf>
    <xf numFmtId="41" fontId="4" fillId="5" borderId="57" xfId="1" applyFont="1" applyFill="1" applyBorder="1" applyAlignment="1">
      <alignment horizontal="center" vertical="center" shrinkToFit="1"/>
    </xf>
    <xf numFmtId="41" fontId="47" fillId="5" borderId="9" xfId="1" applyFont="1" applyFill="1" applyBorder="1" applyAlignment="1">
      <alignment horizontal="center" vertical="center" shrinkToFit="1"/>
    </xf>
    <xf numFmtId="41" fontId="48" fillId="5" borderId="9" xfId="1" applyFont="1" applyFill="1" applyBorder="1" applyAlignment="1">
      <alignment horizontal="center" vertical="center" shrinkToFit="1"/>
    </xf>
    <xf numFmtId="41" fontId="4" fillId="0" borderId="3" xfId="1" applyFont="1" applyFill="1" applyBorder="1" applyAlignment="1">
      <alignment horizontal="center" vertical="center" shrinkToFit="1"/>
    </xf>
    <xf numFmtId="41" fontId="4" fillId="0" borderId="11" xfId="1" applyFont="1" applyFill="1" applyBorder="1" applyAlignment="1">
      <alignment horizontal="center" vertical="center" shrinkToFit="1"/>
    </xf>
    <xf numFmtId="41" fontId="4" fillId="0" borderId="13" xfId="1" applyFont="1" applyFill="1" applyBorder="1" applyAlignment="1">
      <alignment horizontal="center" vertical="center" shrinkToFit="1"/>
    </xf>
    <xf numFmtId="41" fontId="5" fillId="0" borderId="11" xfId="1" applyFont="1" applyFill="1" applyBorder="1" applyAlignment="1">
      <alignment horizontal="center" vertical="center" shrinkToFit="1"/>
    </xf>
    <xf numFmtId="41" fontId="5" fillId="0" borderId="102" xfId="1" applyFont="1" applyFill="1" applyBorder="1" applyAlignment="1">
      <alignment horizontal="center" vertical="center" shrinkToFit="1"/>
    </xf>
    <xf numFmtId="41" fontId="5" fillId="0" borderId="24" xfId="1" applyFont="1" applyFill="1" applyBorder="1" applyAlignment="1">
      <alignment horizontal="center" vertical="center" shrinkToFit="1"/>
    </xf>
    <xf numFmtId="41" fontId="13" fillId="6" borderId="103" xfId="1" applyFont="1" applyFill="1" applyBorder="1" applyAlignment="1">
      <alignment horizontal="center" vertical="center" shrinkToFit="1"/>
    </xf>
    <xf numFmtId="41" fontId="5" fillId="0" borderId="100" xfId="1" applyFont="1" applyFill="1" applyBorder="1" applyAlignment="1">
      <alignment horizontal="center" vertical="center" shrinkToFit="1"/>
    </xf>
    <xf numFmtId="41" fontId="4" fillId="0" borderId="81" xfId="1" applyFont="1" applyFill="1" applyBorder="1" applyAlignment="1">
      <alignment horizontal="center" vertical="center" shrinkToFit="1"/>
    </xf>
    <xf numFmtId="41" fontId="4" fillId="6" borderId="12" xfId="1" applyFont="1" applyFill="1" applyBorder="1" applyAlignment="1">
      <alignment horizontal="center" vertical="center" shrinkToFit="1"/>
    </xf>
    <xf numFmtId="41" fontId="4" fillId="6" borderId="2" xfId="1" applyFont="1" applyFill="1" applyBorder="1" applyAlignment="1">
      <alignment horizontal="center" vertical="center" shrinkToFit="1"/>
    </xf>
    <xf numFmtId="41" fontId="4" fillId="6" borderId="10" xfId="1" applyFont="1" applyFill="1" applyBorder="1" applyAlignment="1">
      <alignment horizontal="center" vertical="center" shrinkToFit="1"/>
    </xf>
    <xf numFmtId="41" fontId="5" fillId="6" borderId="23" xfId="1" applyFont="1" applyFill="1" applyBorder="1" applyAlignment="1">
      <alignment horizontal="center" vertical="center" shrinkToFit="1"/>
    </xf>
    <xf numFmtId="41" fontId="30" fillId="0" borderId="0" xfId="1" applyFont="1">
      <alignment vertical="center"/>
    </xf>
    <xf numFmtId="41" fontId="13" fillId="0" borderId="103" xfId="1" applyFont="1" applyFill="1" applyBorder="1" applyAlignment="1">
      <alignment horizontal="center" vertical="center" shrinkToFit="1"/>
    </xf>
    <xf numFmtId="41" fontId="4" fillId="6" borderId="81" xfId="1" applyFont="1" applyFill="1" applyBorder="1" applyAlignment="1">
      <alignment horizontal="center" vertical="center" shrinkToFit="1"/>
    </xf>
    <xf numFmtId="41" fontId="5" fillId="6" borderId="10" xfId="1" applyFont="1" applyFill="1" applyBorder="1" applyAlignment="1">
      <alignment horizontal="center" vertical="center" shrinkToFit="1"/>
    </xf>
    <xf numFmtId="41" fontId="5" fillId="6" borderId="44" xfId="1" applyFont="1" applyFill="1" applyBorder="1" applyAlignment="1">
      <alignment horizontal="center" vertical="center" shrinkToFit="1"/>
    </xf>
    <xf numFmtId="41" fontId="42" fillId="0" borderId="75" xfId="1" applyFont="1" applyFill="1" applyBorder="1" applyAlignment="1">
      <alignment horizontal="center" vertical="center" shrinkToFit="1"/>
    </xf>
    <xf numFmtId="41" fontId="42" fillId="0" borderId="12" xfId="1" applyFont="1" applyFill="1" applyBorder="1" applyAlignment="1">
      <alignment horizontal="center" vertical="center" shrinkToFit="1"/>
    </xf>
    <xf numFmtId="41" fontId="4" fillId="0" borderId="59" xfId="1" applyFont="1" applyFill="1" applyBorder="1" applyAlignment="1">
      <alignment vertical="center" shrinkToFit="1"/>
    </xf>
    <xf numFmtId="41" fontId="27" fillId="0" borderId="0" xfId="0" applyNumberFormat="1" applyFont="1">
      <alignment vertical="center"/>
    </xf>
    <xf numFmtId="41" fontId="13" fillId="0" borderId="53" xfId="1" applyFont="1" applyFill="1" applyBorder="1" applyAlignment="1">
      <alignment vertical="center" shrinkToFit="1"/>
    </xf>
    <xf numFmtId="41" fontId="4" fillId="0" borderId="94" xfId="1" applyFont="1" applyFill="1" applyBorder="1" applyAlignment="1">
      <alignment vertical="center" shrinkToFit="1"/>
    </xf>
    <xf numFmtId="41" fontId="10" fillId="0" borderId="83" xfId="1" applyFont="1" applyBorder="1" applyAlignment="1">
      <alignment vertical="center" shrinkToFit="1"/>
    </xf>
    <xf numFmtId="0" fontId="33" fillId="0" borderId="85" xfId="0" applyFont="1" applyBorder="1" applyAlignment="1">
      <alignment vertical="center" shrinkToFit="1"/>
    </xf>
    <xf numFmtId="41" fontId="13" fillId="5" borderId="127" xfId="1" applyFont="1" applyFill="1" applyBorder="1" applyAlignment="1">
      <alignment horizontal="center" vertical="center" shrinkToFit="1"/>
    </xf>
    <xf numFmtId="41" fontId="51" fillId="5" borderId="126" xfId="1" applyFont="1" applyFill="1" applyBorder="1" applyAlignment="1">
      <alignment horizontal="center" vertical="center" shrinkToFit="1"/>
    </xf>
    <xf numFmtId="41" fontId="13" fillId="5" borderId="126" xfId="1" applyFont="1" applyFill="1" applyBorder="1" applyAlignment="1">
      <alignment vertical="center" shrinkToFit="1"/>
    </xf>
    <xf numFmtId="41" fontId="4" fillId="0" borderId="28" xfId="1" applyFont="1" applyBorder="1" applyAlignment="1">
      <alignment horizontal="center" vertical="distributed" shrinkToFit="1"/>
    </xf>
    <xf numFmtId="41" fontId="31" fillId="0" borderId="84" xfId="1" applyFont="1" applyBorder="1" applyAlignment="1">
      <alignment shrinkToFit="1"/>
    </xf>
    <xf numFmtId="41" fontId="4" fillId="0" borderId="128" xfId="1" applyFont="1" applyBorder="1" applyAlignment="1">
      <alignment horizontal="center" vertical="center" shrinkToFit="1"/>
    </xf>
    <xf numFmtId="41" fontId="52" fillId="0" borderId="128" xfId="1" applyFont="1" applyBorder="1" applyAlignment="1">
      <alignment horizontal="center" vertical="distributed" shrinkToFit="1"/>
    </xf>
    <xf numFmtId="41" fontId="31" fillId="0" borderId="85" xfId="1" applyFont="1" applyBorder="1" applyAlignment="1">
      <alignment shrinkToFit="1"/>
    </xf>
    <xf numFmtId="0" fontId="5" fillId="0" borderId="85" xfId="0" applyFont="1" applyBorder="1">
      <alignment vertical="center"/>
    </xf>
    <xf numFmtId="41" fontId="5" fillId="0" borderId="29" xfId="1" applyFont="1" applyBorder="1" applyAlignment="1">
      <alignment horizontal="center" vertical="center" shrinkToFit="1"/>
    </xf>
    <xf numFmtId="41" fontId="5" fillId="0" borderId="30" xfId="1" applyFont="1" applyBorder="1" applyAlignment="1">
      <alignment horizontal="center" vertical="center" shrinkToFit="1"/>
    </xf>
    <xf numFmtId="0" fontId="5" fillId="0" borderId="28" xfId="0" applyFont="1" applyBorder="1" applyAlignment="1">
      <alignment horizontal="center" vertical="center"/>
    </xf>
    <xf numFmtId="0" fontId="5" fillId="0" borderId="85" xfId="0" applyFont="1" applyBorder="1" applyAlignment="1">
      <alignment horizontal="center" vertical="center"/>
    </xf>
    <xf numFmtId="41" fontId="49" fillId="0" borderId="94" xfId="1" applyFont="1" applyFill="1" applyBorder="1" applyAlignment="1">
      <alignment vertical="center" shrinkToFit="1"/>
    </xf>
    <xf numFmtId="41" fontId="4" fillId="5" borderId="37" xfId="1" applyFont="1" applyFill="1" applyBorder="1" applyAlignment="1">
      <alignment horizontal="center" vertical="center" shrinkToFit="1"/>
    </xf>
    <xf numFmtId="41" fontId="46" fillId="5" borderId="94" xfId="1" applyFont="1" applyFill="1" applyBorder="1" applyAlignment="1">
      <alignment vertical="center" shrinkToFit="1"/>
    </xf>
    <xf numFmtId="41" fontId="13" fillId="5" borderId="94" xfId="1" applyFont="1" applyFill="1" applyBorder="1" applyAlignment="1">
      <alignment vertical="center" shrinkToFit="1"/>
    </xf>
    <xf numFmtId="41" fontId="31" fillId="0" borderId="87" xfId="1" applyFont="1" applyBorder="1" applyAlignment="1">
      <alignment vertical="top" shrinkToFit="1"/>
    </xf>
    <xf numFmtId="41" fontId="4" fillId="0" borderId="39" xfId="1" applyFont="1" applyBorder="1" applyAlignment="1">
      <alignment horizontal="center" vertical="center"/>
    </xf>
    <xf numFmtId="41" fontId="49" fillId="0" borderId="133" xfId="1" applyFont="1" applyFill="1" applyBorder="1" applyAlignment="1">
      <alignment vertical="center" shrinkToFit="1"/>
    </xf>
    <xf numFmtId="0" fontId="38" fillId="0" borderId="0" xfId="0" applyFont="1" applyAlignment="1">
      <alignment horizontal="left" vertical="center"/>
    </xf>
    <xf numFmtId="0" fontId="29" fillId="0" borderId="58" xfId="0" applyFont="1" applyBorder="1" applyAlignment="1">
      <alignment vertical="top" wrapText="1"/>
    </xf>
    <xf numFmtId="0" fontId="29" fillId="0" borderId="70" xfId="0" applyFont="1" applyBorder="1" applyAlignment="1">
      <alignment vertical="top"/>
    </xf>
    <xf numFmtId="0" fontId="29" fillId="0" borderId="38" xfId="0" applyFont="1" applyBorder="1" applyAlignment="1">
      <alignment vertical="top"/>
    </xf>
    <xf numFmtId="0" fontId="53" fillId="0" borderId="70" xfId="0" applyFont="1" applyBorder="1">
      <alignment vertical="center"/>
    </xf>
    <xf numFmtId="41" fontId="52" fillId="0" borderId="73" xfId="1" applyFont="1" applyBorder="1" applyAlignment="1">
      <alignment horizontal="center" vertical="center" shrinkToFit="1"/>
    </xf>
    <xf numFmtId="41" fontId="52" fillId="0" borderId="2" xfId="1" applyFont="1" applyBorder="1" applyAlignment="1">
      <alignment horizontal="center" vertical="center" shrinkToFit="1"/>
    </xf>
    <xf numFmtId="41" fontId="52" fillId="0" borderId="73" xfId="1" applyFont="1" applyFill="1" applyBorder="1" applyAlignment="1">
      <alignment horizontal="center" vertical="center" shrinkToFit="1"/>
    </xf>
    <xf numFmtId="41" fontId="52" fillId="0" borderId="2" xfId="1" applyFont="1" applyFill="1" applyBorder="1" applyAlignment="1">
      <alignment horizontal="center" vertical="center" shrinkToFit="1"/>
    </xf>
    <xf numFmtId="41" fontId="27" fillId="0" borderId="0" xfId="1" applyFont="1" applyAlignment="1">
      <alignment horizontal="right" vertical="center"/>
    </xf>
    <xf numFmtId="41" fontId="4" fillId="0" borderId="128" xfId="1" applyFont="1" applyFill="1" applyBorder="1" applyAlignment="1">
      <alignment horizontal="center" vertical="center"/>
    </xf>
    <xf numFmtId="41" fontId="56" fillId="2" borderId="6" xfId="1" applyFont="1" applyFill="1" applyBorder="1" applyAlignment="1">
      <alignment horizontal="center" vertical="center" shrinkToFit="1"/>
    </xf>
    <xf numFmtId="41" fontId="56" fillId="2" borderId="61" xfId="1" applyFont="1" applyFill="1" applyBorder="1" applyAlignment="1">
      <alignment horizontal="center" vertical="center" shrinkToFit="1"/>
    </xf>
    <xf numFmtId="41" fontId="56" fillId="2" borderId="35" xfId="1" applyFont="1" applyFill="1" applyBorder="1" applyAlignment="1">
      <alignment horizontal="center" vertical="center" shrinkToFit="1"/>
    </xf>
    <xf numFmtId="41" fontId="56" fillId="2" borderId="45" xfId="1" applyFont="1" applyFill="1" applyBorder="1" applyAlignment="1">
      <alignment horizontal="center" vertical="center" shrinkToFit="1"/>
    </xf>
    <xf numFmtId="41" fontId="37" fillId="0" borderId="92" xfId="1" applyFont="1" applyBorder="1" applyAlignment="1">
      <alignment horizontal="center" vertical="center" shrinkToFit="1"/>
    </xf>
    <xf numFmtId="41" fontId="5" fillId="0" borderId="101" xfId="1" applyFont="1" applyFill="1" applyBorder="1" applyAlignment="1">
      <alignment horizontal="center" vertical="center" shrinkToFit="1"/>
    </xf>
    <xf numFmtId="41" fontId="13" fillId="3" borderId="103" xfId="1" applyFont="1" applyFill="1" applyBorder="1" applyAlignment="1">
      <alignment horizontal="center" vertical="center" shrinkToFit="1"/>
    </xf>
    <xf numFmtId="41" fontId="13" fillId="3" borderId="53" xfId="1" applyFont="1" applyFill="1" applyBorder="1" applyAlignment="1">
      <alignment vertical="center" shrinkToFit="1"/>
    </xf>
    <xf numFmtId="41" fontId="7" fillId="0" borderId="0" xfId="1" applyFont="1" applyAlignment="1">
      <alignment horizontal="left" vertical="center"/>
    </xf>
    <xf numFmtId="41" fontId="0" fillId="0" borderId="0" xfId="1" applyFont="1" applyAlignment="1">
      <alignment vertical="center" shrinkToFit="1"/>
    </xf>
    <xf numFmtId="41" fontId="6" fillId="0" borderId="68" xfId="1" applyFont="1" applyBorder="1" applyAlignment="1">
      <alignment horizontal="center" vertical="center" shrinkToFit="1"/>
    </xf>
    <xf numFmtId="41" fontId="6" fillId="2" borderId="104" xfId="1" applyFont="1" applyFill="1" applyBorder="1" applyAlignment="1">
      <alignment horizontal="center" vertical="center" shrinkToFit="1"/>
    </xf>
    <xf numFmtId="41" fontId="6" fillId="2" borderId="6" xfId="1" applyFont="1" applyFill="1" applyBorder="1" applyAlignment="1">
      <alignment horizontal="center" vertical="center" shrinkToFit="1"/>
    </xf>
    <xf numFmtId="41" fontId="4" fillId="0" borderId="83" xfId="1" applyFont="1" applyBorder="1" applyAlignment="1">
      <alignment horizontal="right" vertical="center" shrinkToFit="1"/>
    </xf>
    <xf numFmtId="41" fontId="4" fillId="0" borderId="3" xfId="1" applyFont="1" applyBorder="1" applyAlignment="1">
      <alignment horizontal="right" vertical="center" shrinkToFit="1"/>
    </xf>
    <xf numFmtId="41" fontId="5" fillId="0" borderId="99" xfId="1" applyFont="1" applyBorder="1" applyAlignment="1">
      <alignment horizontal="center" vertical="center" shrinkToFit="1"/>
    </xf>
    <xf numFmtId="41" fontId="5" fillId="0" borderId="101" xfId="1" applyFont="1" applyBorder="1" applyAlignment="1">
      <alignment horizontal="right" vertical="center" shrinkToFit="1"/>
    </xf>
    <xf numFmtId="41" fontId="5" fillId="4" borderId="98" xfId="1" applyFont="1" applyFill="1" applyBorder="1" applyAlignment="1">
      <alignment vertical="center" shrinkToFit="1"/>
    </xf>
    <xf numFmtId="41" fontId="5" fillId="0" borderId="96" xfId="1" applyFont="1" applyBorder="1" applyAlignment="1">
      <alignment vertical="center" shrinkToFit="1"/>
    </xf>
    <xf numFmtId="41" fontId="42" fillId="0" borderId="81" xfId="1" applyFont="1" applyFill="1" applyBorder="1" applyAlignment="1">
      <alignment horizontal="center" vertical="center" shrinkToFit="1"/>
    </xf>
    <xf numFmtId="41" fontId="44" fillId="0" borderId="12" xfId="1" applyFont="1" applyFill="1" applyBorder="1" applyAlignment="1">
      <alignment vertical="center" shrinkToFit="1"/>
    </xf>
    <xf numFmtId="41" fontId="5" fillId="0" borderId="14" xfId="1" applyFont="1" applyBorder="1" applyAlignment="1">
      <alignment horizontal="center" vertical="center" shrinkToFit="1"/>
    </xf>
    <xf numFmtId="41" fontId="5" fillId="0" borderId="91" xfId="1" applyFont="1" applyBorder="1" applyAlignment="1">
      <alignment horizontal="center" vertical="center" shrinkToFit="1"/>
    </xf>
    <xf numFmtId="41" fontId="23" fillId="0" borderId="22" xfId="1" applyFont="1" applyBorder="1" applyAlignment="1">
      <alignment horizontal="center" vertical="center" shrinkToFit="1"/>
    </xf>
    <xf numFmtId="41" fontId="13" fillId="0" borderId="55" xfId="1" applyFont="1" applyBorder="1" applyAlignment="1">
      <alignment horizontal="center" vertical="center" shrinkToFit="1"/>
    </xf>
    <xf numFmtId="41" fontId="5" fillId="0" borderId="73" xfId="1" applyFont="1" applyBorder="1" applyAlignment="1">
      <alignment horizontal="center" vertical="center"/>
    </xf>
    <xf numFmtId="41" fontId="5" fillId="0" borderId="2" xfId="1" applyFont="1" applyBorder="1" applyAlignment="1">
      <alignment horizontal="center" vertical="center"/>
    </xf>
    <xf numFmtId="41" fontId="5" fillId="0" borderId="5" xfId="1" applyFont="1" applyBorder="1" applyAlignment="1">
      <alignment horizontal="center" vertical="center"/>
    </xf>
    <xf numFmtId="176" fontId="4" fillId="0" borderId="59" xfId="1" applyNumberFormat="1" applyFont="1" applyFill="1" applyBorder="1" applyAlignment="1">
      <alignment vertical="center" shrinkToFit="1"/>
    </xf>
    <xf numFmtId="176" fontId="4" fillId="6" borderId="94" xfId="1" applyNumberFormat="1" applyFont="1" applyFill="1" applyBorder="1" applyAlignment="1">
      <alignment vertical="center" shrinkToFit="1"/>
    </xf>
    <xf numFmtId="41" fontId="58" fillId="0" borderId="2" xfId="1" applyFont="1" applyBorder="1" applyAlignment="1">
      <alignment vertical="center" shrinkToFit="1"/>
    </xf>
    <xf numFmtId="41" fontId="58" fillId="0" borderId="10" xfId="1" applyFont="1" applyBorder="1" applyAlignment="1">
      <alignment vertical="center" shrinkToFit="1"/>
    </xf>
    <xf numFmtId="41" fontId="58" fillId="0" borderId="5" xfId="1" applyFont="1" applyBorder="1" applyAlignment="1">
      <alignment vertical="center" shrinkToFit="1"/>
    </xf>
    <xf numFmtId="176" fontId="59" fillId="0" borderId="2" xfId="1" applyNumberFormat="1" applyFont="1" applyBorder="1" applyAlignment="1">
      <alignment vertical="center" shrinkToFit="1"/>
    </xf>
    <xf numFmtId="41" fontId="59" fillId="0" borderId="2" xfId="1" applyFont="1" applyBorder="1" applyAlignment="1">
      <alignment vertical="center" shrinkToFit="1"/>
    </xf>
    <xf numFmtId="41" fontId="59" fillId="0" borderId="73" xfId="1" applyFont="1" applyBorder="1" applyAlignment="1">
      <alignment vertical="center" shrinkToFit="1"/>
    </xf>
    <xf numFmtId="41" fontId="5" fillId="0" borderId="134" xfId="1" applyFont="1" applyBorder="1" applyAlignment="1">
      <alignment horizontal="center" vertical="center" shrinkToFit="1"/>
    </xf>
    <xf numFmtId="41" fontId="5" fillId="0" borderId="135" xfId="1" applyFont="1" applyBorder="1" applyAlignment="1">
      <alignment horizontal="center" vertical="center" shrinkToFit="1"/>
    </xf>
    <xf numFmtId="41" fontId="54" fillId="7" borderId="94" xfId="1" applyFont="1" applyFill="1" applyBorder="1">
      <alignment vertical="center"/>
    </xf>
    <xf numFmtId="41" fontId="5" fillId="0" borderId="9" xfId="1" applyFont="1" applyBorder="1" applyAlignment="1">
      <alignment horizontal="center" vertical="center" shrinkToFit="1"/>
    </xf>
    <xf numFmtId="0" fontId="20" fillId="2" borderId="47" xfId="0" applyFont="1" applyFill="1" applyBorder="1" applyAlignment="1">
      <alignment horizontal="center" vertical="center"/>
    </xf>
    <xf numFmtId="0" fontId="20" fillId="2" borderId="136" xfId="0" applyFont="1" applyFill="1" applyBorder="1" applyAlignment="1">
      <alignment horizontal="center" vertical="center"/>
    </xf>
    <xf numFmtId="0" fontId="28" fillId="0" borderId="45" xfId="0" applyFont="1" applyBorder="1" applyAlignment="1">
      <alignment horizontal="center" vertical="center"/>
    </xf>
    <xf numFmtId="41" fontId="21" fillId="0" borderId="45" xfId="1" applyFont="1" applyBorder="1" applyAlignment="1">
      <alignment vertical="center" shrinkToFit="1"/>
    </xf>
    <xf numFmtId="41" fontId="59" fillId="0" borderId="45" xfId="1" applyFont="1" applyBorder="1" applyAlignment="1">
      <alignment vertical="center" shrinkToFit="1"/>
    </xf>
    <xf numFmtId="0" fontId="23" fillId="0" borderId="0" xfId="0" applyFont="1">
      <alignment vertical="center"/>
    </xf>
    <xf numFmtId="0" fontId="28" fillId="0" borderId="62" xfId="0" applyFont="1" applyBorder="1" applyAlignment="1">
      <alignment horizontal="center" vertical="center"/>
    </xf>
    <xf numFmtId="176" fontId="21" fillId="0" borderId="62" xfId="1" applyNumberFormat="1" applyFont="1" applyBorder="1" applyAlignment="1">
      <alignment vertical="center" shrinkToFit="1"/>
    </xf>
    <xf numFmtId="176" fontId="59" fillId="0" borderId="62" xfId="1" applyNumberFormat="1" applyFont="1" applyBorder="1" applyAlignment="1">
      <alignment vertical="center" shrinkToFit="1"/>
    </xf>
    <xf numFmtId="41" fontId="21" fillId="0" borderId="138" xfId="1" applyFont="1" applyBorder="1" applyAlignment="1">
      <alignment vertical="center" shrinkToFit="1"/>
    </xf>
    <xf numFmtId="176" fontId="21" fillId="0" borderId="63" xfId="1" applyNumberFormat="1" applyFont="1" applyBorder="1" applyAlignment="1">
      <alignment vertical="center" shrinkToFit="1"/>
    </xf>
    <xf numFmtId="41" fontId="21" fillId="0" borderId="63" xfId="1" applyFont="1" applyBorder="1" applyAlignment="1">
      <alignment vertical="center" shrinkToFit="1"/>
    </xf>
    <xf numFmtId="176" fontId="21" fillId="0" borderId="64" xfId="1" applyNumberFormat="1" applyFont="1" applyBorder="1" applyAlignment="1">
      <alignment vertical="center" shrinkToFit="1"/>
    </xf>
    <xf numFmtId="41" fontId="59" fillId="0" borderId="10" xfId="1" applyFont="1" applyBorder="1" applyAlignment="1">
      <alignment vertical="center" shrinkToFit="1"/>
    </xf>
    <xf numFmtId="41" fontId="16" fillId="5" borderId="107" xfId="0" applyNumberFormat="1" applyFont="1" applyFill="1" applyBorder="1" applyAlignment="1">
      <alignment horizontal="center" vertical="center" shrinkToFit="1"/>
    </xf>
    <xf numFmtId="41" fontId="5" fillId="5" borderId="9" xfId="1" applyFont="1" applyFill="1" applyBorder="1" applyAlignment="1">
      <alignment horizontal="center" vertical="center" shrinkToFit="1"/>
    </xf>
    <xf numFmtId="176" fontId="5" fillId="0" borderId="74" xfId="1" applyNumberFormat="1" applyFont="1" applyBorder="1" applyAlignment="1">
      <alignment vertical="center" shrinkToFit="1"/>
    </xf>
    <xf numFmtId="176" fontId="5" fillId="0" borderId="2" xfId="1" applyNumberFormat="1" applyFont="1" applyBorder="1" applyAlignment="1">
      <alignment vertical="center" shrinkToFit="1"/>
    </xf>
    <xf numFmtId="176" fontId="5" fillId="0" borderId="50" xfId="1" applyNumberFormat="1" applyFont="1" applyBorder="1" applyAlignment="1">
      <alignment vertical="center" shrinkToFit="1"/>
    </xf>
    <xf numFmtId="176" fontId="5" fillId="0" borderId="62" xfId="1" applyNumberFormat="1" applyFont="1" applyBorder="1" applyAlignment="1">
      <alignment vertical="center" shrinkToFit="1"/>
    </xf>
    <xf numFmtId="0" fontId="23" fillId="0" borderId="2" xfId="0" applyFont="1" applyBorder="1">
      <alignment vertical="center"/>
    </xf>
    <xf numFmtId="176" fontId="5" fillId="0" borderId="137" xfId="1" applyNumberFormat="1" applyFont="1" applyBorder="1" applyAlignment="1">
      <alignment vertical="center" shrinkToFit="1"/>
    </xf>
    <xf numFmtId="0" fontId="32" fillId="0" borderId="70" xfId="0" quotePrefix="1" applyFont="1" applyBorder="1">
      <alignment vertical="center"/>
    </xf>
    <xf numFmtId="41" fontId="60" fillId="0" borderId="0" xfId="1" applyFont="1" applyBorder="1">
      <alignment vertical="center"/>
    </xf>
    <xf numFmtId="0" fontId="61" fillId="0" borderId="58" xfId="0" quotePrefix="1" applyFont="1" applyBorder="1">
      <alignment vertical="center"/>
    </xf>
    <xf numFmtId="41" fontId="10" fillId="0" borderId="73" xfId="1" applyFont="1" applyBorder="1" applyAlignment="1">
      <alignment vertical="center" shrinkToFit="1"/>
    </xf>
    <xf numFmtId="41" fontId="58" fillId="0" borderId="73" xfId="1" applyFont="1" applyBorder="1" applyAlignment="1">
      <alignment vertical="center" shrinkToFit="1"/>
    </xf>
    <xf numFmtId="41" fontId="10" fillId="0" borderId="117" xfId="1" applyFont="1" applyBorder="1" applyAlignment="1">
      <alignment vertical="center" shrinkToFit="1"/>
    </xf>
    <xf numFmtId="176" fontId="5" fillId="0" borderId="23" xfId="1" applyNumberFormat="1" applyFont="1" applyFill="1" applyBorder="1" applyAlignment="1">
      <alignment horizontal="center" vertical="center" shrinkToFit="1"/>
    </xf>
    <xf numFmtId="176" fontId="5" fillId="6" borderId="23" xfId="1" applyNumberFormat="1" applyFont="1" applyFill="1" applyBorder="1" applyAlignment="1">
      <alignment horizontal="center" vertical="center" shrinkToFit="1"/>
    </xf>
    <xf numFmtId="176" fontId="5" fillId="0" borderId="23" xfId="1" applyNumberFormat="1" applyFont="1" applyBorder="1" applyAlignment="1">
      <alignment horizontal="center" vertical="center" shrinkToFit="1"/>
    </xf>
    <xf numFmtId="41" fontId="5" fillId="6" borderId="100" xfId="1" applyFont="1" applyFill="1" applyBorder="1" applyAlignment="1">
      <alignment horizontal="center" vertical="center" shrinkToFit="1"/>
    </xf>
    <xf numFmtId="176" fontId="4" fillId="0" borderId="94" xfId="1" applyNumberFormat="1" applyFont="1" applyFill="1" applyBorder="1" applyAlignment="1">
      <alignment vertical="center" shrinkToFit="1"/>
    </xf>
    <xf numFmtId="41" fontId="5" fillId="0" borderId="30" xfId="1" applyFont="1" applyFill="1" applyBorder="1" applyAlignment="1">
      <alignment vertical="center" shrinkToFit="1"/>
    </xf>
    <xf numFmtId="41" fontId="5" fillId="0" borderId="44" xfId="1" applyFont="1" applyBorder="1" applyAlignment="1">
      <alignment vertical="center" shrinkToFit="1"/>
    </xf>
    <xf numFmtId="176" fontId="5" fillId="0" borderId="100" xfId="1" applyNumberFormat="1" applyFont="1" applyFill="1" applyBorder="1" applyAlignment="1">
      <alignment horizontal="center" vertical="center" shrinkToFit="1"/>
    </xf>
    <xf numFmtId="181" fontId="5" fillId="0" borderId="63" xfId="1" applyNumberFormat="1" applyFont="1" applyBorder="1" applyAlignment="1">
      <alignment vertical="center" shrinkToFit="1"/>
    </xf>
    <xf numFmtId="176" fontId="5" fillId="0" borderId="63" xfId="1" applyNumberFormat="1" applyFont="1" applyBorder="1" applyAlignment="1">
      <alignment vertical="center" shrinkToFit="1"/>
    </xf>
    <xf numFmtId="0" fontId="62" fillId="0" borderId="70" xfId="0" applyFont="1" applyBorder="1">
      <alignment vertical="center"/>
    </xf>
    <xf numFmtId="0" fontId="32" fillId="0" borderId="70" xfId="0" applyFont="1" applyBorder="1">
      <alignment vertical="center"/>
    </xf>
    <xf numFmtId="41" fontId="5" fillId="0" borderId="139" xfId="1" applyFont="1" applyBorder="1" applyAlignment="1">
      <alignment vertical="center" shrinkToFit="1"/>
    </xf>
    <xf numFmtId="0" fontId="32" fillId="0" borderId="58" xfId="0" applyFont="1" applyBorder="1">
      <alignment vertical="center"/>
    </xf>
    <xf numFmtId="176" fontId="41" fillId="3" borderId="98" xfId="1" applyNumberFormat="1" applyFont="1" applyFill="1" applyBorder="1" applyAlignment="1">
      <alignment vertical="center" shrinkToFit="1"/>
    </xf>
    <xf numFmtId="176" fontId="41" fillId="3" borderId="94" xfId="1" applyNumberFormat="1" applyFont="1" applyFill="1" applyBorder="1" applyAlignment="1">
      <alignment vertical="center" shrinkToFit="1"/>
    </xf>
    <xf numFmtId="176" fontId="41" fillId="3" borderId="38" xfId="1" applyNumberFormat="1" applyFont="1" applyFill="1" applyBorder="1" applyAlignment="1">
      <alignment vertical="center" shrinkToFit="1"/>
    </xf>
    <xf numFmtId="176" fontId="63" fillId="3" borderId="98" xfId="1" applyNumberFormat="1" applyFont="1" applyFill="1" applyBorder="1" applyAlignment="1">
      <alignment vertical="center" shrinkToFit="1"/>
    </xf>
    <xf numFmtId="176" fontId="23" fillId="0" borderId="73" xfId="1" applyNumberFormat="1" applyFont="1" applyBorder="1" applyAlignment="1">
      <alignment vertical="center" shrinkToFit="1"/>
    </xf>
    <xf numFmtId="176" fontId="64" fillId="0" borderId="112" xfId="1" applyNumberFormat="1" applyFont="1" applyBorder="1" applyAlignment="1">
      <alignment horizontal="center" vertical="center" shrinkToFit="1"/>
    </xf>
    <xf numFmtId="0" fontId="62" fillId="0" borderId="70" xfId="0" quotePrefix="1" applyFont="1" applyBorder="1">
      <alignment vertical="center"/>
    </xf>
    <xf numFmtId="41" fontId="5" fillId="4" borderId="56" xfId="1" applyFont="1" applyFill="1" applyBorder="1" applyAlignment="1">
      <alignment vertical="center" shrinkToFit="1"/>
    </xf>
    <xf numFmtId="176" fontId="5" fillId="0" borderId="2" xfId="1" applyNumberFormat="1" applyFont="1" applyFill="1" applyBorder="1" applyAlignment="1">
      <alignment vertical="center" shrinkToFit="1"/>
    </xf>
    <xf numFmtId="176" fontId="5" fillId="0" borderId="129" xfId="1" applyNumberFormat="1" applyFont="1" applyBorder="1" applyAlignment="1">
      <alignment vertical="center" shrinkToFit="1"/>
    </xf>
    <xf numFmtId="41" fontId="65" fillId="0" borderId="19" xfId="1" applyFont="1" applyBorder="1" applyAlignment="1">
      <alignment vertical="center" shrinkToFit="1"/>
    </xf>
    <xf numFmtId="41" fontId="5" fillId="0" borderId="85" xfId="1" applyFont="1" applyFill="1" applyBorder="1" applyAlignment="1">
      <alignment vertical="center" shrinkToFit="1"/>
    </xf>
    <xf numFmtId="176" fontId="23" fillId="0" borderId="40" xfId="1" applyNumberFormat="1" applyFont="1" applyBorder="1" applyAlignment="1">
      <alignment vertical="center" shrinkToFit="1"/>
    </xf>
    <xf numFmtId="41" fontId="42" fillId="0" borderId="128" xfId="1" applyFont="1" applyFill="1" applyBorder="1" applyAlignment="1">
      <alignment horizontal="center" vertical="center" shrinkToFit="1"/>
    </xf>
    <xf numFmtId="176" fontId="5" fillId="0" borderId="40" xfId="1" applyNumberFormat="1" applyFont="1" applyBorder="1" applyAlignment="1">
      <alignment horizontal="center" vertical="center" shrinkToFit="1"/>
    </xf>
    <xf numFmtId="41" fontId="5" fillId="0" borderId="40" xfId="1" applyFont="1" applyBorder="1" applyAlignment="1">
      <alignment horizontal="center" vertical="center" shrinkToFit="1"/>
    </xf>
    <xf numFmtId="176" fontId="5" fillId="0" borderId="8" xfId="1" applyNumberFormat="1" applyFont="1" applyBorder="1" applyAlignment="1">
      <alignment horizontal="center" vertical="center" shrinkToFit="1"/>
    </xf>
    <xf numFmtId="41" fontId="43" fillId="0" borderId="40" xfId="1" applyFont="1" applyFill="1" applyBorder="1" applyAlignment="1">
      <alignment horizontal="center" vertical="center" shrinkToFit="1"/>
    </xf>
    <xf numFmtId="41" fontId="5" fillId="0" borderId="21" xfId="1" applyFont="1" applyBorder="1" applyAlignment="1">
      <alignment horizontal="center" vertical="center" shrinkToFit="1"/>
    </xf>
    <xf numFmtId="176" fontId="23" fillId="0" borderId="0" xfId="1" applyNumberFormat="1" applyFont="1" applyBorder="1" applyAlignment="1">
      <alignment vertical="center" shrinkToFit="1"/>
    </xf>
    <xf numFmtId="41" fontId="5" fillId="0" borderId="0" xfId="1" applyFont="1" applyBorder="1" applyAlignment="1">
      <alignment horizontal="right" vertical="center" shrinkToFit="1"/>
    </xf>
    <xf numFmtId="41" fontId="4" fillId="0" borderId="48" xfId="1" applyFont="1" applyBorder="1" applyAlignment="1">
      <alignment horizontal="center" vertical="center" shrinkToFit="1"/>
    </xf>
    <xf numFmtId="41" fontId="4" fillId="0" borderId="119" xfId="1" applyFont="1" applyBorder="1" applyAlignment="1">
      <alignment horizontal="center" vertical="center" shrinkToFit="1"/>
    </xf>
    <xf numFmtId="176" fontId="23" fillId="0" borderId="119" xfId="1" applyNumberFormat="1" applyFont="1" applyBorder="1" applyAlignment="1">
      <alignment vertical="center" shrinkToFit="1"/>
    </xf>
    <xf numFmtId="41" fontId="5" fillId="0" borderId="119" xfId="1" applyFont="1" applyBorder="1" applyAlignment="1">
      <alignment vertical="center" shrinkToFit="1"/>
    </xf>
    <xf numFmtId="41" fontId="5" fillId="0" borderId="140" xfId="1" applyFont="1" applyBorder="1" applyAlignment="1">
      <alignment horizontal="center" vertical="center" shrinkToFit="1"/>
    </xf>
    <xf numFmtId="41" fontId="5" fillId="0" borderId="118" xfId="1" applyFont="1" applyBorder="1" applyAlignment="1">
      <alignment horizontal="center" vertical="center" shrinkToFit="1"/>
    </xf>
    <xf numFmtId="176" fontId="23" fillId="0" borderId="118" xfId="1" applyNumberFormat="1" applyFont="1" applyBorder="1" applyAlignment="1">
      <alignment vertical="center" shrinkToFit="1"/>
    </xf>
    <xf numFmtId="41" fontId="5" fillId="0" borderId="118" xfId="1" applyFont="1" applyBorder="1" applyAlignment="1">
      <alignment vertical="center" shrinkToFit="1"/>
    </xf>
    <xf numFmtId="41" fontId="5" fillId="0" borderId="85" xfId="1" applyFont="1" applyBorder="1" applyAlignment="1">
      <alignment vertical="center" shrinkToFit="1"/>
    </xf>
    <xf numFmtId="41" fontId="5" fillId="0" borderId="141" xfId="1" applyFont="1" applyBorder="1" applyAlignment="1">
      <alignment vertical="center" shrinkToFit="1"/>
    </xf>
    <xf numFmtId="41" fontId="5" fillId="0" borderId="84" xfId="1" applyFont="1" applyBorder="1" applyAlignment="1">
      <alignment vertical="center" shrinkToFit="1"/>
    </xf>
    <xf numFmtId="0" fontId="20" fillId="2" borderId="13" xfId="0" applyFont="1" applyFill="1" applyBorder="1" applyAlignment="1">
      <alignment horizontal="center" vertical="center"/>
    </xf>
    <xf numFmtId="0" fontId="20" fillId="2" borderId="78" xfId="0" applyFont="1" applyFill="1" applyBorder="1" applyAlignment="1">
      <alignment horizontal="center" vertical="center"/>
    </xf>
    <xf numFmtId="0" fontId="5" fillId="0" borderId="8" xfId="0" applyFont="1" applyBorder="1" applyAlignment="1">
      <alignment horizontal="center" vertical="center" textRotation="255"/>
    </xf>
    <xf numFmtId="0" fontId="5" fillId="0" borderId="115" xfId="0" applyFont="1" applyBorder="1" applyAlignment="1">
      <alignment horizontal="center" vertical="center"/>
    </xf>
    <xf numFmtId="0" fontId="5" fillId="0" borderId="116" xfId="0" applyFont="1" applyBorder="1" applyAlignment="1">
      <alignment horizontal="center" vertical="center"/>
    </xf>
    <xf numFmtId="41" fontId="4" fillId="0" borderId="124" xfId="1" applyFont="1" applyBorder="1" applyAlignment="1">
      <alignment horizontal="center" vertical="center" shrinkToFit="1"/>
    </xf>
    <xf numFmtId="41" fontId="4" fillId="0" borderId="125" xfId="1" applyFont="1" applyBorder="1" applyAlignment="1">
      <alignment horizontal="center" vertical="center" shrinkToFit="1"/>
    </xf>
    <xf numFmtId="41" fontId="24" fillId="0" borderId="89" xfId="1" applyFont="1" applyBorder="1" applyAlignment="1">
      <alignment horizontal="center" vertical="center" wrapText="1" shrinkToFit="1"/>
    </xf>
    <xf numFmtId="41" fontId="24" fillId="0" borderId="8" xfId="1" applyFont="1" applyBorder="1" applyAlignment="1">
      <alignment horizontal="center" vertical="center" wrapText="1" shrinkToFit="1"/>
    </xf>
    <xf numFmtId="41" fontId="24" fillId="0" borderId="123" xfId="1" applyFont="1" applyBorder="1" applyAlignment="1">
      <alignment horizontal="center" vertical="center" wrapText="1" shrinkToFit="1"/>
    </xf>
    <xf numFmtId="41" fontId="4" fillId="0" borderId="86" xfId="1" applyFont="1" applyBorder="1" applyAlignment="1">
      <alignment horizontal="center" vertical="center" shrinkToFit="1"/>
    </xf>
    <xf numFmtId="41" fontId="4" fillId="0" borderId="132" xfId="1" applyFont="1" applyBorder="1" applyAlignment="1">
      <alignment horizontal="center" vertical="center" shrinkToFit="1"/>
    </xf>
    <xf numFmtId="0" fontId="20" fillId="2" borderId="16" xfId="0" applyFont="1" applyFill="1" applyBorder="1" applyAlignment="1">
      <alignment horizontal="center" vertical="center"/>
    </xf>
    <xf numFmtId="0" fontId="20" fillId="2" borderId="17" xfId="0" applyFont="1" applyFill="1" applyBorder="1" applyAlignment="1">
      <alignment horizontal="center" vertical="center"/>
    </xf>
    <xf numFmtId="0" fontId="20" fillId="2" borderId="42" xfId="0" applyFont="1" applyFill="1" applyBorder="1" applyAlignment="1">
      <alignment horizontal="center" vertical="center"/>
    </xf>
    <xf numFmtId="0" fontId="20" fillId="2" borderId="41" xfId="0" applyFont="1" applyFill="1" applyBorder="1" applyAlignment="1">
      <alignment horizontal="center" vertical="center"/>
    </xf>
    <xf numFmtId="0" fontId="20" fillId="2" borderId="12" xfId="0" applyFont="1" applyFill="1" applyBorder="1" applyAlignment="1">
      <alignment horizontal="center" vertical="center"/>
    </xf>
    <xf numFmtId="0" fontId="20" fillId="2" borderId="39" xfId="0" applyFont="1" applyFill="1" applyBorder="1" applyAlignment="1">
      <alignment horizontal="center" vertical="center"/>
    </xf>
    <xf numFmtId="0" fontId="20" fillId="2" borderId="79" xfId="0" applyFont="1" applyFill="1" applyBorder="1" applyAlignment="1">
      <alignment horizontal="center" vertical="center"/>
    </xf>
    <xf numFmtId="0" fontId="5" fillId="0" borderId="130" xfId="0" applyFont="1" applyBorder="1" applyAlignment="1">
      <alignment horizontal="center" vertical="center"/>
    </xf>
    <xf numFmtId="0" fontId="5" fillId="0" borderId="131" xfId="0" applyFont="1" applyBorder="1" applyAlignment="1">
      <alignment horizontal="center" vertical="center"/>
    </xf>
    <xf numFmtId="0" fontId="32" fillId="0" borderId="15" xfId="0" applyFont="1" applyBorder="1" applyAlignment="1">
      <alignment horizontal="center" vertical="center" textRotation="255"/>
    </xf>
    <xf numFmtId="0" fontId="32" fillId="0" borderId="8" xfId="0" applyFont="1" applyBorder="1" applyAlignment="1">
      <alignment horizontal="center" vertical="center" textRotation="255"/>
    </xf>
    <xf numFmtId="41" fontId="4" fillId="0" borderId="108" xfId="1" applyFont="1" applyBorder="1" applyAlignment="1">
      <alignment horizontal="center" vertical="center" shrinkToFit="1"/>
    </xf>
    <xf numFmtId="41" fontId="4" fillId="0" borderId="109" xfId="1" applyFont="1" applyBorder="1" applyAlignment="1">
      <alignment horizontal="center" vertical="center" shrinkToFit="1"/>
    </xf>
    <xf numFmtId="0" fontId="5" fillId="0" borderId="15" xfId="0" applyFont="1" applyBorder="1" applyAlignment="1">
      <alignment horizontal="center" vertical="center" textRotation="255"/>
    </xf>
    <xf numFmtId="0" fontId="5" fillId="0" borderId="15" xfId="0" applyFont="1" applyBorder="1" applyAlignment="1">
      <alignment horizontal="center" vertical="center" textRotation="255" shrinkToFit="1"/>
    </xf>
    <xf numFmtId="0" fontId="5" fillId="0" borderId="8" xfId="0" applyFont="1" applyBorder="1" applyAlignment="1">
      <alignment horizontal="center" vertical="center" textRotation="255" shrinkToFit="1"/>
    </xf>
    <xf numFmtId="41" fontId="41" fillId="0" borderId="15" xfId="1" applyFont="1" applyBorder="1" applyAlignment="1">
      <alignment horizontal="center" vertical="top" textRotation="255" shrinkToFit="1"/>
    </xf>
    <xf numFmtId="41" fontId="41" fillId="0" borderId="37" xfId="1" applyFont="1" applyBorder="1" applyAlignment="1">
      <alignment horizontal="center" vertical="top" textRotation="255" shrinkToFit="1"/>
    </xf>
    <xf numFmtId="0" fontId="14" fillId="2" borderId="33" xfId="0" applyFont="1" applyFill="1" applyBorder="1" applyAlignment="1">
      <alignment horizontal="center" vertical="center"/>
    </xf>
    <xf numFmtId="0" fontId="14" fillId="2" borderId="34" xfId="0" applyFont="1" applyFill="1" applyBorder="1" applyAlignment="1">
      <alignment horizontal="center" vertical="center"/>
    </xf>
    <xf numFmtId="0" fontId="13" fillId="0" borderId="28" xfId="0" applyFont="1" applyBorder="1" applyAlignment="1">
      <alignment horizontal="center" vertical="center" textRotation="255"/>
    </xf>
    <xf numFmtId="0" fontId="13" fillId="0" borderId="1" xfId="0" applyFont="1" applyBorder="1" applyAlignment="1">
      <alignment horizontal="center" vertical="center" textRotation="255"/>
    </xf>
    <xf numFmtId="0" fontId="13" fillId="0" borderId="52" xfId="0" applyFont="1" applyBorder="1" applyAlignment="1">
      <alignment horizontal="center" vertical="center" textRotation="255"/>
    </xf>
    <xf numFmtId="0" fontId="13" fillId="0" borderId="4" xfId="0" applyFont="1" applyBorder="1" applyAlignment="1">
      <alignment horizontal="center" vertical="center" textRotation="255"/>
    </xf>
    <xf numFmtId="0" fontId="13" fillId="0" borderId="44" xfId="0" applyFont="1" applyBorder="1" applyAlignment="1">
      <alignment horizontal="center" vertical="center"/>
    </xf>
    <xf numFmtId="0" fontId="13" fillId="0" borderId="40" xfId="0" applyFont="1" applyBorder="1" applyAlignment="1">
      <alignment horizontal="center" vertical="center"/>
    </xf>
    <xf numFmtId="0" fontId="13" fillId="0" borderId="45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39" fillId="0" borderId="35" xfId="0" applyFont="1" applyBorder="1" applyAlignment="1">
      <alignment horizontal="center" vertical="center"/>
    </xf>
    <xf numFmtId="41" fontId="30" fillId="0" borderId="35" xfId="1" applyFont="1" applyBorder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0" fontId="21" fillId="0" borderId="62" xfId="0" applyFont="1" applyBorder="1" applyAlignment="1">
      <alignment horizontal="center" vertical="center"/>
    </xf>
    <xf numFmtId="0" fontId="18" fillId="2" borderId="16" xfId="0" applyFont="1" applyFill="1" applyBorder="1" applyAlignment="1">
      <alignment horizontal="center" vertical="center"/>
    </xf>
    <xf numFmtId="0" fontId="14" fillId="2" borderId="32" xfId="0" applyFont="1" applyFill="1" applyBorder="1" applyAlignment="1">
      <alignment horizontal="center" vertical="center"/>
    </xf>
    <xf numFmtId="0" fontId="14" fillId="2" borderId="17" xfId="0" applyFont="1" applyFill="1" applyBorder="1" applyAlignment="1">
      <alignment horizontal="center" vertical="center"/>
    </xf>
    <xf numFmtId="0" fontId="14" fillId="2" borderId="42" xfId="0" applyFont="1" applyFill="1" applyBorder="1" applyAlignment="1">
      <alignment horizontal="center" vertical="center"/>
    </xf>
    <xf numFmtId="0" fontId="14" fillId="2" borderId="43" xfId="0" applyFont="1" applyFill="1" applyBorder="1" applyAlignment="1">
      <alignment horizontal="center" vertical="center"/>
    </xf>
    <xf numFmtId="0" fontId="14" fillId="2" borderId="41" xfId="0" applyFont="1" applyFill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50" fillId="0" borderId="31" xfId="0" applyFont="1" applyBorder="1" applyAlignment="1">
      <alignment horizontal="right" vertical="center"/>
    </xf>
    <xf numFmtId="0" fontId="10" fillId="0" borderId="31" xfId="0" applyFont="1" applyBorder="1" applyAlignment="1">
      <alignment horizontal="right" vertical="center"/>
    </xf>
    <xf numFmtId="0" fontId="20" fillId="2" borderId="32" xfId="0" applyFont="1" applyFill="1" applyBorder="1" applyAlignment="1">
      <alignment horizontal="center" vertical="center"/>
    </xf>
    <xf numFmtId="0" fontId="20" fillId="2" borderId="18" xfId="0" applyFont="1" applyFill="1" applyBorder="1" applyAlignment="1">
      <alignment horizontal="center" vertical="center"/>
    </xf>
    <xf numFmtId="0" fontId="20" fillId="2" borderId="0" xfId="0" applyFont="1" applyFill="1" applyAlignment="1">
      <alignment horizontal="center" vertical="center"/>
    </xf>
    <xf numFmtId="0" fontId="20" fillId="2" borderId="128" xfId="0" applyFont="1" applyFill="1" applyBorder="1" applyAlignment="1">
      <alignment horizontal="center" vertical="center"/>
    </xf>
    <xf numFmtId="0" fontId="20" fillId="2" borderId="25" xfId="0" applyFont="1" applyFill="1" applyBorder="1" applyAlignment="1">
      <alignment horizontal="center" vertical="center"/>
    </xf>
    <xf numFmtId="0" fontId="20" fillId="2" borderId="26" xfId="0" applyFont="1" applyFill="1" applyBorder="1" applyAlignment="1">
      <alignment horizontal="center" vertical="center"/>
    </xf>
    <xf numFmtId="0" fontId="20" fillId="2" borderId="27" xfId="0" applyFont="1" applyFill="1" applyBorder="1" applyAlignment="1">
      <alignment horizontal="center" vertical="center"/>
    </xf>
    <xf numFmtId="0" fontId="21" fillId="0" borderId="45" xfId="0" applyFont="1" applyBorder="1" applyAlignment="1">
      <alignment horizontal="center" vertical="center"/>
    </xf>
    <xf numFmtId="41" fontId="0" fillId="0" borderId="50" xfId="1" applyFont="1" applyBorder="1" applyAlignment="1">
      <alignment horizontal="center" vertical="center"/>
    </xf>
    <xf numFmtId="41" fontId="0" fillId="0" borderId="113" xfId="1" applyFont="1" applyBorder="1" applyAlignment="1">
      <alignment horizontal="center" vertical="center"/>
    </xf>
    <xf numFmtId="0" fontId="16" fillId="0" borderId="15" xfId="0" applyFont="1" applyBorder="1" applyAlignment="1">
      <alignment horizontal="center" vertical="center" textRotation="255" shrinkToFit="1"/>
    </xf>
    <xf numFmtId="0" fontId="16" fillId="0" borderId="8" xfId="0" applyFont="1" applyBorder="1" applyAlignment="1">
      <alignment horizontal="center" vertical="center" textRotation="255" shrinkToFit="1"/>
    </xf>
    <xf numFmtId="0" fontId="16" fillId="0" borderId="123" xfId="0" applyFont="1" applyBorder="1" applyAlignment="1">
      <alignment horizontal="center" vertical="center" textRotation="255" shrinkToFit="1"/>
    </xf>
    <xf numFmtId="41" fontId="13" fillId="0" borderId="97" xfId="1" applyFont="1" applyBorder="1" applyAlignment="1">
      <alignment horizontal="center" vertical="center" shrinkToFit="1"/>
    </xf>
    <xf numFmtId="41" fontId="13" fillId="0" borderId="96" xfId="1" applyFont="1" applyBorder="1" applyAlignment="1">
      <alignment horizontal="center" vertical="center" shrinkToFit="1"/>
    </xf>
    <xf numFmtId="41" fontId="37" fillId="0" borderId="88" xfId="1" applyFont="1" applyBorder="1" applyAlignment="1">
      <alignment horizontal="center" vertical="center" shrinkToFit="1"/>
    </xf>
    <xf numFmtId="41" fontId="37" fillId="0" borderId="92" xfId="1" applyFont="1" applyBorder="1" applyAlignment="1">
      <alignment horizontal="center" vertical="center" shrinkToFit="1"/>
    </xf>
    <xf numFmtId="0" fontId="5" fillId="0" borderId="122" xfId="0" applyFont="1" applyBorder="1" applyAlignment="1">
      <alignment horizontal="center" vertical="center" shrinkToFit="1"/>
    </xf>
    <xf numFmtId="0" fontId="5" fillId="0" borderId="112" xfId="0" applyFont="1" applyBorder="1" applyAlignment="1">
      <alignment horizontal="center" vertical="center" shrinkToFit="1"/>
    </xf>
    <xf numFmtId="0" fontId="7" fillId="0" borderId="0" xfId="0" applyFont="1" applyAlignment="1">
      <alignment horizontal="left" vertical="center"/>
    </xf>
    <xf numFmtId="41" fontId="13" fillId="0" borderId="15" xfId="1" applyFont="1" applyBorder="1" applyAlignment="1">
      <alignment vertical="center" textRotation="255" shrinkToFit="1"/>
    </xf>
    <xf numFmtId="41" fontId="13" fillId="0" borderId="8" xfId="1" applyFont="1" applyBorder="1" applyAlignment="1">
      <alignment vertical="center" textRotation="255" shrinkToFit="1"/>
    </xf>
    <xf numFmtId="41" fontId="13" fillId="0" borderId="37" xfId="1" applyFont="1" applyBorder="1" applyAlignment="1">
      <alignment vertical="center" textRotation="255" shrinkToFit="1"/>
    </xf>
    <xf numFmtId="41" fontId="5" fillId="4" borderId="46" xfId="1" applyFont="1" applyFill="1" applyBorder="1" applyAlignment="1">
      <alignment horizontal="center" vertical="center" shrinkToFit="1"/>
    </xf>
    <xf numFmtId="41" fontId="5" fillId="4" borderId="59" xfId="1" applyFont="1" applyFill="1" applyBorder="1" applyAlignment="1">
      <alignment horizontal="center" vertical="center" shrinkToFit="1"/>
    </xf>
    <xf numFmtId="0" fontId="16" fillId="0" borderId="89" xfId="0" applyFont="1" applyBorder="1" applyAlignment="1">
      <alignment horizontal="center" vertical="center" textRotation="255" shrinkToFit="1"/>
    </xf>
    <xf numFmtId="0" fontId="38" fillId="0" borderId="0" xfId="0" applyFont="1" applyAlignment="1">
      <alignment horizontal="center" vertical="center"/>
    </xf>
    <xf numFmtId="0" fontId="6" fillId="2" borderId="16" xfId="0" applyFont="1" applyFill="1" applyBorder="1" applyAlignment="1">
      <alignment horizontal="center" vertical="center" shrinkToFit="1"/>
    </xf>
    <xf numFmtId="0" fontId="6" fillId="2" borderId="17" xfId="0" applyFont="1" applyFill="1" applyBorder="1" applyAlignment="1">
      <alignment horizontal="center" vertical="center" shrinkToFit="1"/>
    </xf>
    <xf numFmtId="0" fontId="6" fillId="2" borderId="42" xfId="0" applyFont="1" applyFill="1" applyBorder="1" applyAlignment="1">
      <alignment horizontal="center" vertical="center" shrinkToFit="1"/>
    </xf>
    <xf numFmtId="0" fontId="6" fillId="2" borderId="41" xfId="0" applyFont="1" applyFill="1" applyBorder="1" applyAlignment="1">
      <alignment horizontal="center" vertical="center" shrinkToFit="1"/>
    </xf>
    <xf numFmtId="41" fontId="6" fillId="2" borderId="71" xfId="1" applyFont="1" applyFill="1" applyBorder="1" applyAlignment="1">
      <alignment horizontal="center" vertical="center" shrinkToFit="1"/>
    </xf>
    <xf numFmtId="41" fontId="6" fillId="2" borderId="77" xfId="1" applyFont="1" applyFill="1" applyBorder="1" applyAlignment="1">
      <alignment horizontal="center" vertical="center" shrinkToFit="1"/>
    </xf>
    <xf numFmtId="41" fontId="6" fillId="2" borderId="13" xfId="1" applyFont="1" applyFill="1" applyBorder="1" applyAlignment="1">
      <alignment horizontal="center" vertical="center" shrinkToFit="1"/>
    </xf>
    <xf numFmtId="41" fontId="6" fillId="2" borderId="78" xfId="1" applyFont="1" applyFill="1" applyBorder="1" applyAlignment="1">
      <alignment horizontal="center" vertical="center" shrinkToFit="1"/>
    </xf>
    <xf numFmtId="41" fontId="6" fillId="2" borderId="33" xfId="1" applyFont="1" applyFill="1" applyBorder="1" applyAlignment="1">
      <alignment horizontal="center" vertical="center" shrinkToFit="1"/>
    </xf>
    <xf numFmtId="41" fontId="6" fillId="2" borderId="25" xfId="1" applyFont="1" applyFill="1" applyBorder="1" applyAlignment="1">
      <alignment horizontal="center" vertical="center" shrinkToFit="1"/>
    </xf>
    <xf numFmtId="0" fontId="7" fillId="0" borderId="31" xfId="0" applyFont="1" applyBorder="1" applyAlignment="1">
      <alignment horizontal="left" vertical="center"/>
    </xf>
    <xf numFmtId="41" fontId="6" fillId="2" borderId="69" xfId="1" applyFont="1" applyFill="1" applyBorder="1" applyAlignment="1">
      <alignment horizontal="center" vertical="center" shrinkToFit="1"/>
    </xf>
    <xf numFmtId="41" fontId="6" fillId="2" borderId="65" xfId="1" applyFont="1" applyFill="1" applyBorder="1" applyAlignment="1">
      <alignment horizontal="center" vertical="center" shrinkToFit="1"/>
    </xf>
    <xf numFmtId="41" fontId="13" fillId="0" borderId="16" xfId="1" applyFont="1" applyBorder="1" applyAlignment="1">
      <alignment horizontal="center" vertical="center" shrinkToFit="1"/>
    </xf>
    <xf numFmtId="41" fontId="13" fillId="0" borderId="32" xfId="1" applyFont="1" applyBorder="1" applyAlignment="1">
      <alignment horizontal="center" vertical="center" shrinkToFit="1"/>
    </xf>
    <xf numFmtId="41" fontId="13" fillId="0" borderId="84" xfId="1" applyFont="1" applyBorder="1" applyAlignment="1">
      <alignment horizontal="center" vertical="center" shrinkToFit="1"/>
    </xf>
    <xf numFmtId="41" fontId="13" fillId="0" borderId="18" xfId="1" applyFont="1" applyBorder="1" applyAlignment="1">
      <alignment horizontal="center" vertical="center" shrinkToFit="1"/>
    </xf>
    <xf numFmtId="41" fontId="13" fillId="0" borderId="0" xfId="1" applyFont="1" applyBorder="1" applyAlignment="1">
      <alignment horizontal="center" vertical="center" shrinkToFit="1"/>
    </xf>
    <xf numFmtId="41" fontId="13" fillId="0" borderId="85" xfId="1" applyFont="1" applyBorder="1" applyAlignment="1">
      <alignment horizontal="center" vertical="center" shrinkToFit="1"/>
    </xf>
    <xf numFmtId="41" fontId="13" fillId="0" borderId="86" xfId="1" applyFont="1" applyBorder="1" applyAlignment="1">
      <alignment horizontal="center" vertical="center" shrinkToFit="1"/>
    </xf>
    <xf numFmtId="41" fontId="13" fillId="0" borderId="31" xfId="1" applyFont="1" applyBorder="1" applyAlignment="1">
      <alignment horizontal="center" vertical="center" shrinkToFit="1"/>
    </xf>
    <xf numFmtId="41" fontId="13" fillId="0" borderId="87" xfId="1" applyFont="1" applyBorder="1" applyAlignment="1">
      <alignment horizontal="center" vertical="center" shrinkToFit="1"/>
    </xf>
    <xf numFmtId="41" fontId="16" fillId="4" borderId="55" xfId="1" applyFont="1" applyFill="1" applyBorder="1" applyAlignment="1">
      <alignment horizontal="center" vertical="center" shrinkToFit="1"/>
    </xf>
    <xf numFmtId="41" fontId="16" fillId="4" borderId="53" xfId="1" applyFont="1" applyFill="1" applyBorder="1" applyAlignment="1">
      <alignment horizontal="center" vertical="center" shrinkToFit="1"/>
    </xf>
    <xf numFmtId="41" fontId="0" fillId="0" borderId="66" xfId="1" applyFont="1" applyBorder="1" applyAlignment="1">
      <alignment horizontal="center" vertical="center"/>
    </xf>
    <xf numFmtId="41" fontId="0" fillId="0" borderId="120" xfId="1" applyFont="1" applyBorder="1" applyAlignment="1">
      <alignment horizontal="center" vertical="center"/>
    </xf>
    <xf numFmtId="41" fontId="0" fillId="0" borderId="63" xfId="1" applyFont="1" applyBorder="1" applyAlignment="1">
      <alignment horizontal="center" vertical="center"/>
    </xf>
    <xf numFmtId="41" fontId="0" fillId="0" borderId="49" xfId="1" applyFont="1" applyBorder="1" applyAlignment="1">
      <alignment horizontal="center" vertical="center"/>
    </xf>
    <xf numFmtId="41" fontId="0" fillId="0" borderId="71" xfId="1" applyFont="1" applyBorder="1" applyAlignment="1">
      <alignment horizontal="center" vertical="center"/>
    </xf>
    <xf numFmtId="41" fontId="0" fillId="0" borderId="121" xfId="1" applyFont="1" applyBorder="1" applyAlignment="1">
      <alignment horizontal="center" vertical="center"/>
    </xf>
    <xf numFmtId="41" fontId="0" fillId="0" borderId="114" xfId="1" applyFont="1" applyBorder="1" applyAlignment="1">
      <alignment horizontal="center" vertical="center"/>
    </xf>
    <xf numFmtId="0" fontId="35" fillId="0" borderId="16" xfId="0" applyFont="1" applyBorder="1" applyAlignment="1">
      <alignment horizontal="center" vertical="center"/>
    </xf>
    <xf numFmtId="0" fontId="35" fillId="0" borderId="84" xfId="0" applyFont="1" applyBorder="1" applyAlignment="1">
      <alignment horizontal="center" vertical="center"/>
    </xf>
  </cellXfs>
  <cellStyles count="16">
    <cellStyle name="백분율" xfId="9" builtinId="5"/>
    <cellStyle name="백분율 2" xfId="5" xr:uid="{00000000-0005-0000-0000-000001000000}"/>
    <cellStyle name="쉼표 [0]" xfId="1" builtinId="6"/>
    <cellStyle name="쉼표 [0] 2" xfId="3" xr:uid="{00000000-0005-0000-0000-000003000000}"/>
    <cellStyle name="쉼표 [0] 2 2" xfId="6" xr:uid="{00000000-0005-0000-0000-000004000000}"/>
    <cellStyle name="쉼표 [0] 2 3" xfId="4" xr:uid="{00000000-0005-0000-0000-000005000000}"/>
    <cellStyle name="쉼표 [0] 3" xfId="11" xr:uid="{00000000-0005-0000-0000-000006000000}"/>
    <cellStyle name="통화 [0] 2" xfId="12" xr:uid="{00000000-0005-0000-0000-000007000000}"/>
    <cellStyle name="표준" xfId="0" builtinId="0"/>
    <cellStyle name="표준 2" xfId="7" xr:uid="{00000000-0005-0000-0000-000009000000}"/>
    <cellStyle name="표준 2 2" xfId="8" xr:uid="{00000000-0005-0000-0000-00000A000000}"/>
    <cellStyle name="표준 2 3" xfId="10" xr:uid="{00000000-0005-0000-0000-00000B000000}"/>
    <cellStyle name="표준 3" xfId="2" xr:uid="{00000000-0005-0000-0000-00000C000000}"/>
    <cellStyle name="표준 3 2" xfId="13" xr:uid="{00000000-0005-0000-0000-00000D000000}"/>
    <cellStyle name="표준 4" xfId="14" xr:uid="{00000000-0005-0000-0000-00000E000000}"/>
    <cellStyle name="표준 5" xfId="15" xr:uid="{00000000-0005-0000-0000-00000F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5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4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701584</xdr:colOff>
      <xdr:row>18</xdr:row>
      <xdr:rowOff>6084</xdr:rowOff>
    </xdr:from>
    <xdr:to>
      <xdr:col>7</xdr:col>
      <xdr:colOff>69567</xdr:colOff>
      <xdr:row>18</xdr:row>
      <xdr:rowOff>125187</xdr:rowOff>
    </xdr:to>
    <xdr:sp macro="" textlink="">
      <xdr:nvSpPr>
        <xdr:cNvPr id="2" name="타원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4603024" y="3915144"/>
          <a:ext cx="107123" cy="119103"/>
        </a:xfrm>
        <a:prstGeom prst="ellipse">
          <a:avLst/>
        </a:prstGeom>
        <a:solidFill>
          <a:schemeClr val="bg1">
            <a:lumMod val="8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600"/>
            <a:t>ㄱ</a:t>
          </a:r>
          <a:endParaRPr lang="ko-KR" altLang="en-US" sz="1100"/>
        </a:p>
      </xdr:txBody>
    </xdr:sp>
    <xdr:clientData/>
  </xdr:twoCellAnchor>
  <xdr:twoCellAnchor>
    <xdr:from>
      <xdr:col>2</xdr:col>
      <xdr:colOff>740873</xdr:colOff>
      <xdr:row>17</xdr:row>
      <xdr:rowOff>191141</xdr:rowOff>
    </xdr:from>
    <xdr:to>
      <xdr:col>3</xdr:col>
      <xdr:colOff>103414</xdr:colOff>
      <xdr:row>18</xdr:row>
      <xdr:rowOff>108858</xdr:rowOff>
    </xdr:to>
    <xdr:sp macro="" textlink="">
      <xdr:nvSpPr>
        <xdr:cNvPr id="3" name="타원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066753" y="3902081"/>
          <a:ext cx="116921" cy="115837"/>
        </a:xfrm>
        <a:prstGeom prst="ellipse">
          <a:avLst/>
        </a:prstGeom>
        <a:solidFill>
          <a:schemeClr val="bg1">
            <a:lumMod val="8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600"/>
            <a:t>ㄱ</a:t>
          </a:r>
          <a:endParaRPr lang="ko-KR" altLang="en-US" sz="1100"/>
        </a:p>
      </xdr:txBody>
    </xdr:sp>
    <xdr:clientData/>
  </xdr:twoCellAnchor>
  <xdr:twoCellAnchor editAs="oneCell">
    <xdr:from>
      <xdr:col>6</xdr:col>
      <xdr:colOff>695728</xdr:colOff>
      <xdr:row>0</xdr:row>
      <xdr:rowOff>107679</xdr:rowOff>
    </xdr:from>
    <xdr:to>
      <xdr:col>9</xdr:col>
      <xdr:colOff>3204</xdr:colOff>
      <xdr:row>1</xdr:row>
      <xdr:rowOff>156104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97168" y="107679"/>
          <a:ext cx="2462155" cy="627545"/>
        </a:xfrm>
        <a:prstGeom prst="rect">
          <a:avLst/>
        </a:prstGeom>
      </xdr:spPr>
    </xdr:pic>
    <xdr:clientData/>
  </xdr:twoCellAnchor>
  <xdr:twoCellAnchor>
    <xdr:from>
      <xdr:col>2</xdr:col>
      <xdr:colOff>735431</xdr:colOff>
      <xdr:row>18</xdr:row>
      <xdr:rowOff>196583</xdr:rowOff>
    </xdr:from>
    <xdr:to>
      <xdr:col>3</xdr:col>
      <xdr:colOff>97972</xdr:colOff>
      <xdr:row>19</xdr:row>
      <xdr:rowOff>114300</xdr:rowOff>
    </xdr:to>
    <xdr:sp macro="" textlink="">
      <xdr:nvSpPr>
        <xdr:cNvPr id="5" name="타원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2061311" y="4105643"/>
          <a:ext cx="116921" cy="115837"/>
        </a:xfrm>
        <a:prstGeom prst="ellipse">
          <a:avLst/>
        </a:prstGeom>
        <a:solidFill>
          <a:schemeClr val="bg1">
            <a:lumMod val="8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600"/>
            <a:t>ㄱ</a:t>
          </a:r>
          <a:endParaRPr lang="ko-KR" altLang="en-US" sz="1100"/>
        </a:p>
      </xdr:txBody>
    </xdr:sp>
    <xdr:clientData/>
  </xdr:twoCellAnchor>
  <xdr:twoCellAnchor>
    <xdr:from>
      <xdr:col>2</xdr:col>
      <xdr:colOff>692050</xdr:colOff>
      <xdr:row>18</xdr:row>
      <xdr:rowOff>107854</xdr:rowOff>
    </xdr:from>
    <xdr:to>
      <xdr:col>3</xdr:col>
      <xdr:colOff>87145</xdr:colOff>
      <xdr:row>19</xdr:row>
      <xdr:rowOff>97667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2017930" y="4016914"/>
          <a:ext cx="149475" cy="18793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100"/>
            <a:t>a</a:t>
          </a:r>
          <a:endParaRPr lang="ko-KR" altLang="en-US" sz="1100"/>
        </a:p>
      </xdr:txBody>
    </xdr:sp>
    <xdr:clientData/>
  </xdr:twoCellAnchor>
  <xdr:twoCellAnchor>
    <xdr:from>
      <xdr:col>2</xdr:col>
      <xdr:colOff>692050</xdr:colOff>
      <xdr:row>17</xdr:row>
      <xdr:rowOff>118740</xdr:rowOff>
    </xdr:from>
    <xdr:to>
      <xdr:col>3</xdr:col>
      <xdr:colOff>87145</xdr:colOff>
      <xdr:row>18</xdr:row>
      <xdr:rowOff>108553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2017930" y="3829680"/>
          <a:ext cx="149475" cy="18793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100"/>
            <a:t>b</a:t>
          </a:r>
          <a:endParaRPr lang="ko-KR" altLang="en-US" sz="1100"/>
        </a:p>
      </xdr:txBody>
    </xdr:sp>
    <xdr:clientData/>
  </xdr:twoCellAnchor>
  <xdr:twoCellAnchor>
    <xdr:from>
      <xdr:col>6</xdr:col>
      <xdr:colOff>650890</xdr:colOff>
      <xdr:row>17</xdr:row>
      <xdr:rowOff>124183</xdr:rowOff>
    </xdr:from>
    <xdr:to>
      <xdr:col>7</xdr:col>
      <xdr:colOff>51427</xdr:colOff>
      <xdr:row>18</xdr:row>
      <xdr:rowOff>113996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4552330" y="3835123"/>
          <a:ext cx="139677" cy="18793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100"/>
            <a:t>c</a:t>
          </a:r>
          <a:endParaRPr lang="ko-KR" altLang="en-US" sz="1100"/>
        </a:p>
      </xdr:txBody>
    </xdr:sp>
    <xdr:clientData/>
  </xdr:twoCellAnchor>
  <xdr:twoCellAnchor>
    <xdr:from>
      <xdr:col>6</xdr:col>
      <xdr:colOff>650890</xdr:colOff>
      <xdr:row>16</xdr:row>
      <xdr:rowOff>124183</xdr:rowOff>
    </xdr:from>
    <xdr:to>
      <xdr:col>7</xdr:col>
      <xdr:colOff>51427</xdr:colOff>
      <xdr:row>17</xdr:row>
      <xdr:rowOff>113996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4552330" y="3637003"/>
          <a:ext cx="139677" cy="18793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100"/>
            <a:t>	</a:t>
          </a:r>
          <a:endParaRPr lang="ko-KR" altLang="en-US" sz="1100"/>
        </a:p>
      </xdr:txBody>
    </xdr:sp>
    <xdr:clientData/>
  </xdr:twoCellAnchor>
  <xdr:twoCellAnchor>
    <xdr:from>
      <xdr:col>6</xdr:col>
      <xdr:colOff>650890</xdr:colOff>
      <xdr:row>16</xdr:row>
      <xdr:rowOff>124183</xdr:rowOff>
    </xdr:from>
    <xdr:to>
      <xdr:col>7</xdr:col>
      <xdr:colOff>51427</xdr:colOff>
      <xdr:row>17</xdr:row>
      <xdr:rowOff>113996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/>
      </xdr:nvSpPr>
      <xdr:spPr>
        <a:xfrm>
          <a:off x="4552330" y="3637003"/>
          <a:ext cx="139677" cy="18793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100"/>
            <a:t>	</a:t>
          </a:r>
          <a:endParaRPr lang="ko-KR" altLang="en-US" sz="1100"/>
        </a:p>
      </xdr:txBody>
    </xdr:sp>
    <xdr:clientData/>
  </xdr:twoCellAnchor>
  <xdr:oneCellAnchor>
    <xdr:from>
      <xdr:col>6</xdr:col>
      <xdr:colOff>695728</xdr:colOff>
      <xdr:row>0</xdr:row>
      <xdr:rowOff>107679</xdr:rowOff>
    </xdr:from>
    <xdr:ext cx="2462155" cy="627545"/>
    <xdr:pic>
      <xdr:nvPicPr>
        <xdr:cNvPr id="10" name="그림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97168" y="107679"/>
          <a:ext cx="2462155" cy="627545"/>
        </a:xfrm>
        <a:prstGeom prst="rect">
          <a:avLst/>
        </a:prstGeom>
      </xdr:spPr>
    </xdr:pic>
    <xdr:clientData/>
  </xdr:oneCellAnchor>
  <xdr:twoCellAnchor>
    <xdr:from>
      <xdr:col>6</xdr:col>
      <xdr:colOff>701584</xdr:colOff>
      <xdr:row>18</xdr:row>
      <xdr:rowOff>6084</xdr:rowOff>
    </xdr:from>
    <xdr:to>
      <xdr:col>7</xdr:col>
      <xdr:colOff>69567</xdr:colOff>
      <xdr:row>18</xdr:row>
      <xdr:rowOff>125187</xdr:rowOff>
    </xdr:to>
    <xdr:sp macro="" textlink="">
      <xdr:nvSpPr>
        <xdr:cNvPr id="17" name="타원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/>
      </xdr:nvSpPr>
      <xdr:spPr>
        <a:xfrm>
          <a:off x="4839244" y="3915144"/>
          <a:ext cx="107123" cy="119103"/>
        </a:xfrm>
        <a:prstGeom prst="ellipse">
          <a:avLst/>
        </a:prstGeom>
        <a:solidFill>
          <a:schemeClr val="bg1">
            <a:lumMod val="8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600"/>
            <a:t>ㄱ</a:t>
          </a:r>
          <a:endParaRPr lang="ko-KR" altLang="en-US" sz="1100"/>
        </a:p>
      </xdr:txBody>
    </xdr:sp>
    <xdr:clientData/>
  </xdr:twoCellAnchor>
  <xdr:twoCellAnchor>
    <xdr:from>
      <xdr:col>2</xdr:col>
      <xdr:colOff>740873</xdr:colOff>
      <xdr:row>17</xdr:row>
      <xdr:rowOff>191141</xdr:rowOff>
    </xdr:from>
    <xdr:to>
      <xdr:col>3</xdr:col>
      <xdr:colOff>103414</xdr:colOff>
      <xdr:row>18</xdr:row>
      <xdr:rowOff>108858</xdr:rowOff>
    </xdr:to>
    <xdr:sp macro="" textlink="">
      <xdr:nvSpPr>
        <xdr:cNvPr id="19" name="타원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/>
      </xdr:nvSpPr>
      <xdr:spPr>
        <a:xfrm>
          <a:off x="2043893" y="3902081"/>
          <a:ext cx="101681" cy="115837"/>
        </a:xfrm>
        <a:prstGeom prst="ellipse">
          <a:avLst/>
        </a:prstGeom>
        <a:solidFill>
          <a:schemeClr val="bg1">
            <a:lumMod val="8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600"/>
            <a:t>ㄱ</a:t>
          </a:r>
          <a:endParaRPr lang="ko-KR" altLang="en-US" sz="1100"/>
        </a:p>
      </xdr:txBody>
    </xdr:sp>
    <xdr:clientData/>
  </xdr:twoCellAnchor>
  <xdr:twoCellAnchor editAs="oneCell">
    <xdr:from>
      <xdr:col>6</xdr:col>
      <xdr:colOff>695728</xdr:colOff>
      <xdr:row>0</xdr:row>
      <xdr:rowOff>107679</xdr:rowOff>
    </xdr:from>
    <xdr:to>
      <xdr:col>9</xdr:col>
      <xdr:colOff>3204</xdr:colOff>
      <xdr:row>1</xdr:row>
      <xdr:rowOff>156104</xdr:rowOff>
    </xdr:to>
    <xdr:pic>
      <xdr:nvPicPr>
        <xdr:cNvPr id="21" name="그림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33388" y="107679"/>
          <a:ext cx="2462156" cy="627545"/>
        </a:xfrm>
        <a:prstGeom prst="rect">
          <a:avLst/>
        </a:prstGeom>
      </xdr:spPr>
    </xdr:pic>
    <xdr:clientData/>
  </xdr:twoCellAnchor>
  <xdr:twoCellAnchor>
    <xdr:from>
      <xdr:col>2</xdr:col>
      <xdr:colOff>735431</xdr:colOff>
      <xdr:row>18</xdr:row>
      <xdr:rowOff>196583</xdr:rowOff>
    </xdr:from>
    <xdr:to>
      <xdr:col>3</xdr:col>
      <xdr:colOff>97972</xdr:colOff>
      <xdr:row>19</xdr:row>
      <xdr:rowOff>114300</xdr:rowOff>
    </xdr:to>
    <xdr:sp macro="" textlink="">
      <xdr:nvSpPr>
        <xdr:cNvPr id="22" name="타원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>
          <a:off x="2038451" y="4105643"/>
          <a:ext cx="101681" cy="115837"/>
        </a:xfrm>
        <a:prstGeom prst="ellipse">
          <a:avLst/>
        </a:prstGeom>
        <a:solidFill>
          <a:schemeClr val="bg1">
            <a:lumMod val="8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600"/>
            <a:t>ㄱ</a:t>
          </a:r>
          <a:endParaRPr lang="ko-KR" altLang="en-US" sz="1100"/>
        </a:p>
      </xdr:txBody>
    </xdr:sp>
    <xdr:clientData/>
  </xdr:twoCellAnchor>
  <xdr:twoCellAnchor>
    <xdr:from>
      <xdr:col>2</xdr:col>
      <xdr:colOff>692050</xdr:colOff>
      <xdr:row>18</xdr:row>
      <xdr:rowOff>107854</xdr:rowOff>
    </xdr:from>
    <xdr:to>
      <xdr:col>3</xdr:col>
      <xdr:colOff>87145</xdr:colOff>
      <xdr:row>19</xdr:row>
      <xdr:rowOff>97667</xdr:rowOff>
    </xdr:to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2017930" y="4016914"/>
          <a:ext cx="111375" cy="18793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100"/>
            <a:t>a</a:t>
          </a:r>
          <a:endParaRPr lang="ko-KR" altLang="en-US" sz="1100"/>
        </a:p>
      </xdr:txBody>
    </xdr:sp>
    <xdr:clientData/>
  </xdr:twoCellAnchor>
  <xdr:twoCellAnchor>
    <xdr:from>
      <xdr:col>2</xdr:col>
      <xdr:colOff>692050</xdr:colOff>
      <xdr:row>17</xdr:row>
      <xdr:rowOff>118740</xdr:rowOff>
    </xdr:from>
    <xdr:to>
      <xdr:col>3</xdr:col>
      <xdr:colOff>87145</xdr:colOff>
      <xdr:row>18</xdr:row>
      <xdr:rowOff>108553</xdr:rowOff>
    </xdr:to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 txBox="1"/>
      </xdr:nvSpPr>
      <xdr:spPr>
        <a:xfrm>
          <a:off x="2017930" y="3829680"/>
          <a:ext cx="111375" cy="18793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100"/>
            <a:t>b</a:t>
          </a:r>
          <a:endParaRPr lang="ko-KR" altLang="en-US" sz="1100"/>
        </a:p>
      </xdr:txBody>
    </xdr:sp>
    <xdr:clientData/>
  </xdr:twoCellAnchor>
  <xdr:twoCellAnchor>
    <xdr:from>
      <xdr:col>6</xdr:col>
      <xdr:colOff>650890</xdr:colOff>
      <xdr:row>17</xdr:row>
      <xdr:rowOff>124183</xdr:rowOff>
    </xdr:from>
    <xdr:to>
      <xdr:col>7</xdr:col>
      <xdr:colOff>51427</xdr:colOff>
      <xdr:row>18</xdr:row>
      <xdr:rowOff>113996</xdr:rowOff>
    </xdr:to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 txBox="1"/>
      </xdr:nvSpPr>
      <xdr:spPr>
        <a:xfrm>
          <a:off x="4788550" y="3835123"/>
          <a:ext cx="139677" cy="18793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100"/>
            <a:t>c</a:t>
          </a:r>
          <a:endParaRPr lang="ko-KR" altLang="en-US" sz="1100"/>
        </a:p>
      </xdr:txBody>
    </xdr:sp>
    <xdr:clientData/>
  </xdr:twoCellAnchor>
  <xdr:twoCellAnchor>
    <xdr:from>
      <xdr:col>6</xdr:col>
      <xdr:colOff>650890</xdr:colOff>
      <xdr:row>16</xdr:row>
      <xdr:rowOff>124183</xdr:rowOff>
    </xdr:from>
    <xdr:to>
      <xdr:col>7</xdr:col>
      <xdr:colOff>51427</xdr:colOff>
      <xdr:row>17</xdr:row>
      <xdr:rowOff>113996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 txBox="1"/>
      </xdr:nvSpPr>
      <xdr:spPr>
        <a:xfrm>
          <a:off x="4788550" y="3637003"/>
          <a:ext cx="139677" cy="18793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100"/>
            <a:t>	</a:t>
          </a:r>
          <a:endParaRPr lang="ko-KR" altLang="en-US" sz="1100"/>
        </a:p>
      </xdr:txBody>
    </xdr:sp>
    <xdr:clientData/>
  </xdr:twoCellAnchor>
  <xdr:twoCellAnchor>
    <xdr:from>
      <xdr:col>6</xdr:col>
      <xdr:colOff>650890</xdr:colOff>
      <xdr:row>16</xdr:row>
      <xdr:rowOff>124183</xdr:rowOff>
    </xdr:from>
    <xdr:to>
      <xdr:col>7</xdr:col>
      <xdr:colOff>51427</xdr:colOff>
      <xdr:row>17</xdr:row>
      <xdr:rowOff>113996</xdr:rowOff>
    </xdr:to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 txBox="1"/>
      </xdr:nvSpPr>
      <xdr:spPr>
        <a:xfrm>
          <a:off x="4788550" y="3637003"/>
          <a:ext cx="139677" cy="18793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100"/>
            <a:t>	</a:t>
          </a:r>
          <a:endParaRPr lang="ko-KR" altLang="en-US" sz="1100"/>
        </a:p>
      </xdr:txBody>
    </xdr:sp>
    <xdr:clientData/>
  </xdr:twoCellAnchor>
  <xdr:oneCellAnchor>
    <xdr:from>
      <xdr:col>6</xdr:col>
      <xdr:colOff>695728</xdr:colOff>
      <xdr:row>0</xdr:row>
      <xdr:rowOff>107679</xdr:rowOff>
    </xdr:from>
    <xdr:ext cx="2462155" cy="627545"/>
    <xdr:pic>
      <xdr:nvPicPr>
        <xdr:cNvPr id="28" name="그림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33388" y="107679"/>
          <a:ext cx="2462155" cy="627545"/>
        </a:xfrm>
        <a:prstGeom prst="rect">
          <a:avLst/>
        </a:prstGeom>
      </xdr:spPr>
    </xdr:pic>
    <xdr:clientData/>
  </xdr:oneCellAnchor>
  <xdr:twoCellAnchor>
    <xdr:from>
      <xdr:col>5</xdr:col>
      <xdr:colOff>657225</xdr:colOff>
      <xdr:row>16</xdr:row>
      <xdr:rowOff>133350</xdr:rowOff>
    </xdr:from>
    <xdr:to>
      <xdr:col>6</xdr:col>
      <xdr:colOff>57150</xdr:colOff>
      <xdr:row>17</xdr:row>
      <xdr:rowOff>114300</xdr:rowOff>
    </xdr:to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 txBox="1">
          <a:spLocks noRot="1"/>
        </xdr:cNvSpPr>
      </xdr:nvSpPr>
      <xdr:spPr>
        <a:xfrm>
          <a:off x="3766185" y="3646170"/>
          <a:ext cx="428625" cy="17907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0170" tIns="46990" rIns="90170" bIns="46990"/>
        <a:lstStyle/>
        <a:p>
          <a:pPr algn="l" eaLnBrk="0" latinLnBrk="0">
            <a:lnSpc>
              <a:spcPct val="100000"/>
            </a:lnSpc>
          </a:pPr>
          <a:r>
            <a:rPr lang="ko-KR" altLang="en-US" sz="1100">
              <a:solidFill>
                <a:srgbClr val="000000"/>
              </a:solidFill>
              <a:latin typeface="Calibri"/>
              <a:ea typeface="Calibri"/>
            </a:rPr>
            <a:t>	</a:t>
          </a:r>
        </a:p>
      </xdr:txBody>
    </xdr:sp>
    <xdr:clientData/>
  </xdr:twoCellAnchor>
  <xdr:twoCellAnchor>
    <xdr:from>
      <xdr:col>5</xdr:col>
      <xdr:colOff>657225</xdr:colOff>
      <xdr:row>16</xdr:row>
      <xdr:rowOff>133350</xdr:rowOff>
    </xdr:from>
    <xdr:to>
      <xdr:col>6</xdr:col>
      <xdr:colOff>57150</xdr:colOff>
      <xdr:row>17</xdr:row>
      <xdr:rowOff>114300</xdr:rowOff>
    </xdr:to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 txBox="1">
          <a:spLocks noRot="1"/>
        </xdr:cNvSpPr>
      </xdr:nvSpPr>
      <xdr:spPr>
        <a:xfrm>
          <a:off x="3766185" y="3646170"/>
          <a:ext cx="428625" cy="17907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0170" tIns="46990" rIns="90170" bIns="46990"/>
        <a:lstStyle/>
        <a:p>
          <a:pPr algn="l" eaLnBrk="0" latinLnBrk="0">
            <a:lnSpc>
              <a:spcPct val="100000"/>
            </a:lnSpc>
          </a:pPr>
          <a:r>
            <a:rPr lang="ko-KR" altLang="en-US" sz="1100">
              <a:solidFill>
                <a:srgbClr val="000000"/>
              </a:solidFill>
              <a:latin typeface="Calibri"/>
              <a:ea typeface="Calibri"/>
            </a:rPr>
            <a:t>	</a:t>
          </a:r>
        </a:p>
      </xdr:txBody>
    </xdr:sp>
    <xdr:clientData/>
  </xdr:twoCellAnchor>
  <xdr:twoCellAnchor>
    <xdr:from>
      <xdr:col>5</xdr:col>
      <xdr:colOff>650890</xdr:colOff>
      <xdr:row>16</xdr:row>
      <xdr:rowOff>124183</xdr:rowOff>
    </xdr:from>
    <xdr:to>
      <xdr:col>6</xdr:col>
      <xdr:colOff>51427</xdr:colOff>
      <xdr:row>17</xdr:row>
      <xdr:rowOff>113996</xdr:rowOff>
    </xdr:to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 txBox="1"/>
      </xdr:nvSpPr>
      <xdr:spPr>
        <a:xfrm>
          <a:off x="4788550" y="3637003"/>
          <a:ext cx="139677" cy="18793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100"/>
            <a:t>	</a:t>
          </a:r>
          <a:endParaRPr lang="ko-KR" altLang="en-US" sz="1100"/>
        </a:p>
      </xdr:txBody>
    </xdr:sp>
    <xdr:clientData/>
  </xdr:twoCellAnchor>
  <xdr:twoCellAnchor>
    <xdr:from>
      <xdr:col>5</xdr:col>
      <xdr:colOff>650890</xdr:colOff>
      <xdr:row>16</xdr:row>
      <xdr:rowOff>124183</xdr:rowOff>
    </xdr:from>
    <xdr:to>
      <xdr:col>6</xdr:col>
      <xdr:colOff>51427</xdr:colOff>
      <xdr:row>17</xdr:row>
      <xdr:rowOff>113996</xdr:rowOff>
    </xdr:to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 txBox="1"/>
      </xdr:nvSpPr>
      <xdr:spPr>
        <a:xfrm>
          <a:off x="4788550" y="3637003"/>
          <a:ext cx="139677" cy="18793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100"/>
            <a:t>	</a:t>
          </a:r>
          <a:endParaRPr lang="ko-KR" altLang="en-US" sz="1100"/>
        </a:p>
      </xdr:txBody>
    </xdr:sp>
    <xdr:clientData/>
  </xdr:twoCellAnchor>
  <xdr:twoCellAnchor>
    <xdr:from>
      <xdr:col>5</xdr:col>
      <xdr:colOff>650890</xdr:colOff>
      <xdr:row>16</xdr:row>
      <xdr:rowOff>124183</xdr:rowOff>
    </xdr:from>
    <xdr:to>
      <xdr:col>6</xdr:col>
      <xdr:colOff>51427</xdr:colOff>
      <xdr:row>17</xdr:row>
      <xdr:rowOff>113996</xdr:rowOff>
    </xdr:to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 txBox="1"/>
      </xdr:nvSpPr>
      <xdr:spPr>
        <a:xfrm>
          <a:off x="4788550" y="3637003"/>
          <a:ext cx="139677" cy="18793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100"/>
            <a:t>	</a:t>
          </a:r>
          <a:endParaRPr lang="ko-KR" altLang="en-US" sz="1100"/>
        </a:p>
      </xdr:txBody>
    </xdr:sp>
    <xdr:clientData/>
  </xdr:twoCellAnchor>
  <xdr:twoCellAnchor>
    <xdr:from>
      <xdr:col>5</xdr:col>
      <xdr:colOff>650890</xdr:colOff>
      <xdr:row>16</xdr:row>
      <xdr:rowOff>124183</xdr:rowOff>
    </xdr:from>
    <xdr:to>
      <xdr:col>6</xdr:col>
      <xdr:colOff>51427</xdr:colOff>
      <xdr:row>17</xdr:row>
      <xdr:rowOff>113996</xdr:rowOff>
    </xdr:to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 txBox="1"/>
      </xdr:nvSpPr>
      <xdr:spPr>
        <a:xfrm>
          <a:off x="4788550" y="3637003"/>
          <a:ext cx="139677" cy="18793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100"/>
            <a:t>	</a:t>
          </a:r>
          <a:endParaRPr lang="ko-KR" altLang="en-US" sz="1100"/>
        </a:p>
      </xdr:txBody>
    </xdr:sp>
    <xdr:clientData/>
  </xdr:twoCellAnchor>
  <xdr:twoCellAnchor>
    <xdr:from>
      <xdr:col>5</xdr:col>
      <xdr:colOff>650890</xdr:colOff>
      <xdr:row>16</xdr:row>
      <xdr:rowOff>124183</xdr:rowOff>
    </xdr:from>
    <xdr:to>
      <xdr:col>6</xdr:col>
      <xdr:colOff>51427</xdr:colOff>
      <xdr:row>17</xdr:row>
      <xdr:rowOff>113996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/>
      </xdr:nvSpPr>
      <xdr:spPr>
        <a:xfrm>
          <a:off x="4791966" y="3650404"/>
          <a:ext cx="141516" cy="18950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100"/>
            <a:t>	</a:t>
          </a:r>
          <a:endParaRPr lang="ko-KR" altLang="en-US" sz="1100"/>
        </a:p>
      </xdr:txBody>
    </xdr:sp>
    <xdr:clientData/>
  </xdr:twoCellAnchor>
  <xdr:twoCellAnchor>
    <xdr:from>
      <xdr:col>5</xdr:col>
      <xdr:colOff>650890</xdr:colOff>
      <xdr:row>16</xdr:row>
      <xdr:rowOff>124183</xdr:rowOff>
    </xdr:from>
    <xdr:to>
      <xdr:col>6</xdr:col>
      <xdr:colOff>51427</xdr:colOff>
      <xdr:row>17</xdr:row>
      <xdr:rowOff>113996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4791966" y="3650404"/>
          <a:ext cx="141516" cy="18950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100"/>
            <a:t>	</a:t>
          </a:r>
          <a:endParaRPr lang="ko-KR" altLang="en-US" sz="1100"/>
        </a:p>
      </xdr:txBody>
    </xdr:sp>
    <xdr:clientData/>
  </xdr:twoCellAnchor>
  <xdr:twoCellAnchor>
    <xdr:from>
      <xdr:col>5</xdr:col>
      <xdr:colOff>650890</xdr:colOff>
      <xdr:row>16</xdr:row>
      <xdr:rowOff>124183</xdr:rowOff>
    </xdr:from>
    <xdr:to>
      <xdr:col>6</xdr:col>
      <xdr:colOff>51427</xdr:colOff>
      <xdr:row>17</xdr:row>
      <xdr:rowOff>113996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4791966" y="3650404"/>
          <a:ext cx="141516" cy="18950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100"/>
            <a:t>	</a:t>
          </a:r>
          <a:endParaRPr lang="ko-KR" altLang="en-US" sz="1100"/>
        </a:p>
      </xdr:txBody>
    </xdr:sp>
    <xdr:clientData/>
  </xdr:twoCellAnchor>
  <xdr:twoCellAnchor>
    <xdr:from>
      <xdr:col>5</xdr:col>
      <xdr:colOff>650890</xdr:colOff>
      <xdr:row>16</xdr:row>
      <xdr:rowOff>124183</xdr:rowOff>
    </xdr:from>
    <xdr:to>
      <xdr:col>6</xdr:col>
      <xdr:colOff>51427</xdr:colOff>
      <xdr:row>17</xdr:row>
      <xdr:rowOff>113996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4791966" y="3650404"/>
          <a:ext cx="141516" cy="18950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100"/>
            <a:t>	</a:t>
          </a:r>
          <a:endParaRPr lang="ko-KR" altLang="en-US" sz="1100"/>
        </a:p>
      </xdr:txBody>
    </xdr:sp>
    <xdr:clientData/>
  </xdr:twoCellAnchor>
  <xdr:twoCellAnchor>
    <xdr:from>
      <xdr:col>5</xdr:col>
      <xdr:colOff>650890</xdr:colOff>
      <xdr:row>16</xdr:row>
      <xdr:rowOff>124183</xdr:rowOff>
    </xdr:from>
    <xdr:to>
      <xdr:col>6</xdr:col>
      <xdr:colOff>51427</xdr:colOff>
      <xdr:row>17</xdr:row>
      <xdr:rowOff>113996</xdr:rowOff>
    </xdr:to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 txBox="1"/>
      </xdr:nvSpPr>
      <xdr:spPr>
        <a:xfrm>
          <a:off x="4791923" y="3665609"/>
          <a:ext cx="137553" cy="18968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100"/>
            <a:t>	</a:t>
          </a:r>
          <a:endParaRPr lang="ko-KR" altLang="en-US" sz="1100"/>
        </a:p>
      </xdr:txBody>
    </xdr:sp>
    <xdr:clientData/>
  </xdr:twoCellAnchor>
  <xdr:twoCellAnchor>
    <xdr:from>
      <xdr:col>5</xdr:col>
      <xdr:colOff>650890</xdr:colOff>
      <xdr:row>16</xdr:row>
      <xdr:rowOff>124183</xdr:rowOff>
    </xdr:from>
    <xdr:to>
      <xdr:col>6</xdr:col>
      <xdr:colOff>51427</xdr:colOff>
      <xdr:row>17</xdr:row>
      <xdr:rowOff>113996</xdr:rowOff>
    </xdr:to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 txBox="1"/>
      </xdr:nvSpPr>
      <xdr:spPr>
        <a:xfrm>
          <a:off x="4791923" y="3665609"/>
          <a:ext cx="137553" cy="18968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100"/>
            <a:t>	</a:t>
          </a:r>
          <a:endParaRPr lang="ko-KR" altLang="en-US" sz="1100"/>
        </a:p>
      </xdr:txBody>
    </xdr:sp>
    <xdr:clientData/>
  </xdr:twoCellAnchor>
  <xdr:twoCellAnchor>
    <xdr:from>
      <xdr:col>5</xdr:col>
      <xdr:colOff>650890</xdr:colOff>
      <xdr:row>16</xdr:row>
      <xdr:rowOff>124183</xdr:rowOff>
    </xdr:from>
    <xdr:to>
      <xdr:col>6</xdr:col>
      <xdr:colOff>51427</xdr:colOff>
      <xdr:row>17</xdr:row>
      <xdr:rowOff>113996</xdr:rowOff>
    </xdr:to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 txBox="1"/>
      </xdr:nvSpPr>
      <xdr:spPr>
        <a:xfrm>
          <a:off x="4791923" y="3665609"/>
          <a:ext cx="137553" cy="18968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100"/>
            <a:t>	</a:t>
          </a:r>
          <a:endParaRPr lang="ko-KR" altLang="en-US" sz="1100"/>
        </a:p>
      </xdr:txBody>
    </xdr:sp>
    <xdr:clientData/>
  </xdr:twoCellAnchor>
  <xdr:twoCellAnchor>
    <xdr:from>
      <xdr:col>5</xdr:col>
      <xdr:colOff>650890</xdr:colOff>
      <xdr:row>16</xdr:row>
      <xdr:rowOff>124183</xdr:rowOff>
    </xdr:from>
    <xdr:to>
      <xdr:col>6</xdr:col>
      <xdr:colOff>51427</xdr:colOff>
      <xdr:row>17</xdr:row>
      <xdr:rowOff>113996</xdr:rowOff>
    </xdr:to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SpPr txBox="1"/>
      </xdr:nvSpPr>
      <xdr:spPr>
        <a:xfrm>
          <a:off x="4791923" y="3665609"/>
          <a:ext cx="137553" cy="18968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100"/>
            <a:t>	</a:t>
          </a:r>
          <a:endParaRPr lang="ko-KR" altLang="en-US" sz="1100"/>
        </a:p>
      </xdr:txBody>
    </xdr:sp>
    <xdr:clientData/>
  </xdr:twoCellAnchor>
  <xdr:twoCellAnchor>
    <xdr:from>
      <xdr:col>5</xdr:col>
      <xdr:colOff>650890</xdr:colOff>
      <xdr:row>16</xdr:row>
      <xdr:rowOff>124183</xdr:rowOff>
    </xdr:from>
    <xdr:to>
      <xdr:col>6</xdr:col>
      <xdr:colOff>51427</xdr:colOff>
      <xdr:row>17</xdr:row>
      <xdr:rowOff>113996</xdr:rowOff>
    </xdr:to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SpPr txBox="1"/>
      </xdr:nvSpPr>
      <xdr:spPr>
        <a:xfrm>
          <a:off x="4780658" y="3628022"/>
          <a:ext cx="142126" cy="1871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100"/>
            <a:t>	</a:t>
          </a:r>
          <a:endParaRPr lang="ko-KR" altLang="en-US" sz="1100"/>
        </a:p>
      </xdr:txBody>
    </xdr:sp>
    <xdr:clientData/>
  </xdr:twoCellAnchor>
  <xdr:twoCellAnchor>
    <xdr:from>
      <xdr:col>5</xdr:col>
      <xdr:colOff>650890</xdr:colOff>
      <xdr:row>16</xdr:row>
      <xdr:rowOff>124183</xdr:rowOff>
    </xdr:from>
    <xdr:to>
      <xdr:col>6</xdr:col>
      <xdr:colOff>51427</xdr:colOff>
      <xdr:row>17</xdr:row>
      <xdr:rowOff>113996</xdr:rowOff>
    </xdr:to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 txBox="1"/>
      </xdr:nvSpPr>
      <xdr:spPr>
        <a:xfrm>
          <a:off x="4780658" y="3628022"/>
          <a:ext cx="142126" cy="1871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100"/>
            <a:t>	</a:t>
          </a:r>
          <a:endParaRPr lang="ko-KR" altLang="en-US" sz="1100"/>
        </a:p>
      </xdr:txBody>
    </xdr:sp>
    <xdr:clientData/>
  </xdr:twoCellAnchor>
  <xdr:twoCellAnchor>
    <xdr:from>
      <xdr:col>5</xdr:col>
      <xdr:colOff>650890</xdr:colOff>
      <xdr:row>16</xdr:row>
      <xdr:rowOff>124183</xdr:rowOff>
    </xdr:from>
    <xdr:to>
      <xdr:col>6</xdr:col>
      <xdr:colOff>51427</xdr:colOff>
      <xdr:row>17</xdr:row>
      <xdr:rowOff>113996</xdr:rowOff>
    </xdr:to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 txBox="1"/>
      </xdr:nvSpPr>
      <xdr:spPr>
        <a:xfrm>
          <a:off x="4780658" y="3628022"/>
          <a:ext cx="142126" cy="1871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100"/>
            <a:t>	</a:t>
          </a:r>
          <a:endParaRPr lang="ko-KR" altLang="en-US" sz="1100"/>
        </a:p>
      </xdr:txBody>
    </xdr:sp>
    <xdr:clientData/>
  </xdr:twoCellAnchor>
  <xdr:twoCellAnchor>
    <xdr:from>
      <xdr:col>5</xdr:col>
      <xdr:colOff>650890</xdr:colOff>
      <xdr:row>16</xdr:row>
      <xdr:rowOff>124183</xdr:rowOff>
    </xdr:from>
    <xdr:to>
      <xdr:col>6</xdr:col>
      <xdr:colOff>51427</xdr:colOff>
      <xdr:row>17</xdr:row>
      <xdr:rowOff>113996</xdr:rowOff>
    </xdr:to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SpPr txBox="1"/>
      </xdr:nvSpPr>
      <xdr:spPr>
        <a:xfrm>
          <a:off x="4780658" y="3628022"/>
          <a:ext cx="142126" cy="1871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100"/>
            <a:t>	</a:t>
          </a:r>
          <a:endParaRPr lang="ko-KR" altLang="en-US" sz="1100"/>
        </a:p>
      </xdr:txBody>
    </xdr:sp>
    <xdr:clientData/>
  </xdr:twoCellAnchor>
  <xdr:twoCellAnchor>
    <xdr:from>
      <xdr:col>5</xdr:col>
      <xdr:colOff>650890</xdr:colOff>
      <xdr:row>16</xdr:row>
      <xdr:rowOff>124183</xdr:rowOff>
    </xdr:from>
    <xdr:to>
      <xdr:col>6</xdr:col>
      <xdr:colOff>51427</xdr:colOff>
      <xdr:row>17</xdr:row>
      <xdr:rowOff>113996</xdr:rowOff>
    </xdr:to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 txBox="1"/>
      </xdr:nvSpPr>
      <xdr:spPr>
        <a:xfrm>
          <a:off x="4788479" y="3656445"/>
          <a:ext cx="141172" cy="18921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100"/>
            <a:t>	</a:t>
          </a:r>
          <a:endParaRPr lang="ko-KR" altLang="en-US" sz="1100"/>
        </a:p>
      </xdr:txBody>
    </xdr:sp>
    <xdr:clientData/>
  </xdr:twoCellAnchor>
  <xdr:twoCellAnchor>
    <xdr:from>
      <xdr:col>5</xdr:col>
      <xdr:colOff>650890</xdr:colOff>
      <xdr:row>16</xdr:row>
      <xdr:rowOff>124183</xdr:rowOff>
    </xdr:from>
    <xdr:to>
      <xdr:col>6</xdr:col>
      <xdr:colOff>51427</xdr:colOff>
      <xdr:row>17</xdr:row>
      <xdr:rowOff>113996</xdr:rowOff>
    </xdr:to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 txBox="1"/>
      </xdr:nvSpPr>
      <xdr:spPr>
        <a:xfrm>
          <a:off x="4788479" y="3656445"/>
          <a:ext cx="141172" cy="18921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100"/>
            <a:t>	</a:t>
          </a:r>
          <a:endParaRPr lang="ko-KR" altLang="en-US" sz="1100"/>
        </a:p>
      </xdr:txBody>
    </xdr:sp>
    <xdr:clientData/>
  </xdr:twoCellAnchor>
  <xdr:twoCellAnchor>
    <xdr:from>
      <xdr:col>5</xdr:col>
      <xdr:colOff>650890</xdr:colOff>
      <xdr:row>16</xdr:row>
      <xdr:rowOff>124183</xdr:rowOff>
    </xdr:from>
    <xdr:to>
      <xdr:col>6</xdr:col>
      <xdr:colOff>51427</xdr:colOff>
      <xdr:row>17</xdr:row>
      <xdr:rowOff>113996</xdr:rowOff>
    </xdr:to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 txBox="1"/>
      </xdr:nvSpPr>
      <xdr:spPr>
        <a:xfrm>
          <a:off x="4788479" y="3656445"/>
          <a:ext cx="141172" cy="18921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100"/>
            <a:t>	</a:t>
          </a:r>
          <a:endParaRPr lang="ko-KR" altLang="en-US" sz="1100"/>
        </a:p>
      </xdr:txBody>
    </xdr:sp>
    <xdr:clientData/>
  </xdr:twoCellAnchor>
  <xdr:twoCellAnchor>
    <xdr:from>
      <xdr:col>5</xdr:col>
      <xdr:colOff>650890</xdr:colOff>
      <xdr:row>16</xdr:row>
      <xdr:rowOff>124183</xdr:rowOff>
    </xdr:from>
    <xdr:to>
      <xdr:col>6</xdr:col>
      <xdr:colOff>51427</xdr:colOff>
      <xdr:row>17</xdr:row>
      <xdr:rowOff>113996</xdr:rowOff>
    </xdr:to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SpPr txBox="1"/>
      </xdr:nvSpPr>
      <xdr:spPr>
        <a:xfrm>
          <a:off x="4788479" y="3656445"/>
          <a:ext cx="141172" cy="18921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100"/>
            <a:t>	</a:t>
          </a:r>
          <a:endParaRPr lang="ko-KR" altLang="en-US" sz="1100"/>
        </a:p>
      </xdr:txBody>
    </xdr:sp>
    <xdr:clientData/>
  </xdr:twoCellAnchor>
  <xdr:twoCellAnchor>
    <xdr:from>
      <xdr:col>5</xdr:col>
      <xdr:colOff>650890</xdr:colOff>
      <xdr:row>16</xdr:row>
      <xdr:rowOff>124183</xdr:rowOff>
    </xdr:from>
    <xdr:to>
      <xdr:col>6</xdr:col>
      <xdr:colOff>51427</xdr:colOff>
      <xdr:row>17</xdr:row>
      <xdr:rowOff>113996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 txBox="1"/>
      </xdr:nvSpPr>
      <xdr:spPr>
        <a:xfrm>
          <a:off x="4786584" y="3620780"/>
          <a:ext cx="137956" cy="18645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100"/>
            <a:t>	</a:t>
          </a:r>
          <a:endParaRPr lang="ko-KR" altLang="en-US" sz="1100"/>
        </a:p>
      </xdr:txBody>
    </xdr:sp>
    <xdr:clientData/>
  </xdr:twoCellAnchor>
  <xdr:twoCellAnchor>
    <xdr:from>
      <xdr:col>5</xdr:col>
      <xdr:colOff>650890</xdr:colOff>
      <xdr:row>16</xdr:row>
      <xdr:rowOff>124183</xdr:rowOff>
    </xdr:from>
    <xdr:to>
      <xdr:col>6</xdr:col>
      <xdr:colOff>51427</xdr:colOff>
      <xdr:row>17</xdr:row>
      <xdr:rowOff>113996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4786584" y="3620780"/>
          <a:ext cx="137956" cy="18645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100"/>
            <a:t>	</a:t>
          </a:r>
          <a:endParaRPr lang="ko-KR" altLang="en-US" sz="1100"/>
        </a:p>
      </xdr:txBody>
    </xdr:sp>
    <xdr:clientData/>
  </xdr:twoCellAnchor>
  <xdr:twoCellAnchor>
    <xdr:from>
      <xdr:col>5</xdr:col>
      <xdr:colOff>650890</xdr:colOff>
      <xdr:row>16</xdr:row>
      <xdr:rowOff>124183</xdr:rowOff>
    </xdr:from>
    <xdr:to>
      <xdr:col>6</xdr:col>
      <xdr:colOff>51427</xdr:colOff>
      <xdr:row>17</xdr:row>
      <xdr:rowOff>113996</xdr:rowOff>
    </xdr:to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 txBox="1"/>
      </xdr:nvSpPr>
      <xdr:spPr>
        <a:xfrm>
          <a:off x="4786584" y="3620780"/>
          <a:ext cx="137956" cy="18645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100"/>
            <a:t>	</a:t>
          </a:r>
          <a:endParaRPr lang="ko-KR" altLang="en-US" sz="1100"/>
        </a:p>
      </xdr:txBody>
    </xdr:sp>
    <xdr:clientData/>
  </xdr:twoCellAnchor>
  <xdr:twoCellAnchor>
    <xdr:from>
      <xdr:col>5</xdr:col>
      <xdr:colOff>650890</xdr:colOff>
      <xdr:row>16</xdr:row>
      <xdr:rowOff>124183</xdr:rowOff>
    </xdr:from>
    <xdr:to>
      <xdr:col>6</xdr:col>
      <xdr:colOff>51427</xdr:colOff>
      <xdr:row>17</xdr:row>
      <xdr:rowOff>113996</xdr:rowOff>
    </xdr:to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SpPr txBox="1"/>
      </xdr:nvSpPr>
      <xdr:spPr>
        <a:xfrm>
          <a:off x="4786584" y="3620780"/>
          <a:ext cx="137956" cy="18645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100"/>
            <a:t>	</a:t>
          </a:r>
          <a:endParaRPr lang="ko-KR" altLang="en-US" sz="1100"/>
        </a:p>
      </xdr:txBody>
    </xdr:sp>
    <xdr:clientData/>
  </xdr:twoCellAnchor>
  <xdr:twoCellAnchor>
    <xdr:from>
      <xdr:col>5</xdr:col>
      <xdr:colOff>650890</xdr:colOff>
      <xdr:row>17</xdr:row>
      <xdr:rowOff>124183</xdr:rowOff>
    </xdr:from>
    <xdr:to>
      <xdr:col>6</xdr:col>
      <xdr:colOff>51427</xdr:colOff>
      <xdr:row>18</xdr:row>
      <xdr:rowOff>113996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4788550" y="3835123"/>
          <a:ext cx="139677" cy="18793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100"/>
            <a:t>c</a:t>
          </a:r>
          <a:endParaRPr lang="ko-KR" altLang="en-US" sz="1100"/>
        </a:p>
      </xdr:txBody>
    </xdr:sp>
    <xdr:clientData/>
  </xdr:twoCellAnchor>
  <xdr:twoCellAnchor>
    <xdr:from>
      <xdr:col>5</xdr:col>
      <xdr:colOff>650890</xdr:colOff>
      <xdr:row>16</xdr:row>
      <xdr:rowOff>124183</xdr:rowOff>
    </xdr:from>
    <xdr:to>
      <xdr:col>6</xdr:col>
      <xdr:colOff>51427</xdr:colOff>
      <xdr:row>17</xdr:row>
      <xdr:rowOff>113996</xdr:rowOff>
    </xdr:to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 txBox="1"/>
      </xdr:nvSpPr>
      <xdr:spPr>
        <a:xfrm>
          <a:off x="4788550" y="3637003"/>
          <a:ext cx="139677" cy="18793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100"/>
            <a:t>	</a:t>
          </a:r>
          <a:endParaRPr lang="ko-KR" altLang="en-US" sz="1100"/>
        </a:p>
      </xdr:txBody>
    </xdr:sp>
    <xdr:clientData/>
  </xdr:twoCellAnchor>
  <xdr:twoCellAnchor>
    <xdr:from>
      <xdr:col>5</xdr:col>
      <xdr:colOff>650890</xdr:colOff>
      <xdr:row>16</xdr:row>
      <xdr:rowOff>124183</xdr:rowOff>
    </xdr:from>
    <xdr:to>
      <xdr:col>6</xdr:col>
      <xdr:colOff>51427</xdr:colOff>
      <xdr:row>17</xdr:row>
      <xdr:rowOff>113996</xdr:rowOff>
    </xdr:to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SpPr txBox="1"/>
      </xdr:nvSpPr>
      <xdr:spPr>
        <a:xfrm>
          <a:off x="4788550" y="3637003"/>
          <a:ext cx="139677" cy="18793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100"/>
            <a:t>	</a:t>
          </a:r>
          <a:endParaRPr lang="ko-KR" altLang="en-US" sz="1100"/>
        </a:p>
      </xdr:txBody>
    </xdr:sp>
    <xdr:clientData/>
  </xdr:twoCellAnchor>
  <xdr:twoCellAnchor>
    <xdr:from>
      <xdr:col>5</xdr:col>
      <xdr:colOff>650890</xdr:colOff>
      <xdr:row>17</xdr:row>
      <xdr:rowOff>124183</xdr:rowOff>
    </xdr:from>
    <xdr:to>
      <xdr:col>6</xdr:col>
      <xdr:colOff>51427</xdr:colOff>
      <xdr:row>18</xdr:row>
      <xdr:rowOff>113996</xdr:rowOff>
    </xdr:to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 txBox="1"/>
      </xdr:nvSpPr>
      <xdr:spPr>
        <a:xfrm>
          <a:off x="4788550" y="3835123"/>
          <a:ext cx="139677" cy="18793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100"/>
            <a:t>c</a:t>
          </a:r>
          <a:endParaRPr lang="ko-KR" altLang="en-US" sz="1100"/>
        </a:p>
      </xdr:txBody>
    </xdr:sp>
    <xdr:clientData/>
  </xdr:twoCellAnchor>
  <xdr:twoCellAnchor>
    <xdr:from>
      <xdr:col>5</xdr:col>
      <xdr:colOff>650890</xdr:colOff>
      <xdr:row>16</xdr:row>
      <xdr:rowOff>124183</xdr:rowOff>
    </xdr:from>
    <xdr:to>
      <xdr:col>6</xdr:col>
      <xdr:colOff>51427</xdr:colOff>
      <xdr:row>17</xdr:row>
      <xdr:rowOff>113996</xdr:rowOff>
    </xdr:to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 txBox="1"/>
      </xdr:nvSpPr>
      <xdr:spPr>
        <a:xfrm>
          <a:off x="4788550" y="3637003"/>
          <a:ext cx="139677" cy="18793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100"/>
            <a:t>	</a:t>
          </a:r>
          <a:endParaRPr lang="ko-KR" altLang="en-US" sz="1100"/>
        </a:p>
      </xdr:txBody>
    </xdr:sp>
    <xdr:clientData/>
  </xdr:twoCellAnchor>
  <xdr:twoCellAnchor>
    <xdr:from>
      <xdr:col>5</xdr:col>
      <xdr:colOff>650890</xdr:colOff>
      <xdr:row>16</xdr:row>
      <xdr:rowOff>124183</xdr:rowOff>
    </xdr:from>
    <xdr:to>
      <xdr:col>6</xdr:col>
      <xdr:colOff>51427</xdr:colOff>
      <xdr:row>17</xdr:row>
      <xdr:rowOff>113996</xdr:rowOff>
    </xdr:to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 txBox="1"/>
      </xdr:nvSpPr>
      <xdr:spPr>
        <a:xfrm>
          <a:off x="4788550" y="3637003"/>
          <a:ext cx="139677" cy="18793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100"/>
            <a:t>	</a:t>
          </a:r>
          <a:endParaRPr lang="ko-KR" altLang="en-US" sz="1100"/>
        </a:p>
      </xdr:txBody>
    </xdr:sp>
    <xdr:clientData/>
  </xdr:twoCellAnchor>
  <xdr:twoCellAnchor>
    <xdr:from>
      <xdr:col>5</xdr:col>
      <xdr:colOff>650890</xdr:colOff>
      <xdr:row>17</xdr:row>
      <xdr:rowOff>124183</xdr:rowOff>
    </xdr:from>
    <xdr:to>
      <xdr:col>6</xdr:col>
      <xdr:colOff>51427</xdr:colOff>
      <xdr:row>18</xdr:row>
      <xdr:rowOff>113996</xdr:rowOff>
    </xdr:to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 txBox="1"/>
      </xdr:nvSpPr>
      <xdr:spPr>
        <a:xfrm>
          <a:off x="4780658" y="3825326"/>
          <a:ext cx="142126" cy="18711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100"/>
            <a:t>c</a:t>
          </a:r>
          <a:endParaRPr lang="ko-KR" altLang="en-US" sz="1100"/>
        </a:p>
      </xdr:txBody>
    </xdr:sp>
    <xdr:clientData/>
  </xdr:twoCellAnchor>
  <xdr:twoCellAnchor>
    <xdr:from>
      <xdr:col>5</xdr:col>
      <xdr:colOff>650890</xdr:colOff>
      <xdr:row>16</xdr:row>
      <xdr:rowOff>124183</xdr:rowOff>
    </xdr:from>
    <xdr:to>
      <xdr:col>6</xdr:col>
      <xdr:colOff>51427</xdr:colOff>
      <xdr:row>17</xdr:row>
      <xdr:rowOff>113996</xdr:rowOff>
    </xdr:to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SpPr txBox="1"/>
      </xdr:nvSpPr>
      <xdr:spPr>
        <a:xfrm>
          <a:off x="4780658" y="3628022"/>
          <a:ext cx="142126" cy="1871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100"/>
            <a:t>	</a:t>
          </a:r>
          <a:endParaRPr lang="ko-KR" altLang="en-US" sz="1100"/>
        </a:p>
      </xdr:txBody>
    </xdr:sp>
    <xdr:clientData/>
  </xdr:twoCellAnchor>
  <xdr:twoCellAnchor>
    <xdr:from>
      <xdr:col>5</xdr:col>
      <xdr:colOff>650890</xdr:colOff>
      <xdr:row>16</xdr:row>
      <xdr:rowOff>124183</xdr:rowOff>
    </xdr:from>
    <xdr:to>
      <xdr:col>6</xdr:col>
      <xdr:colOff>51427</xdr:colOff>
      <xdr:row>17</xdr:row>
      <xdr:rowOff>113996</xdr:rowOff>
    </xdr:to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 txBox="1"/>
      </xdr:nvSpPr>
      <xdr:spPr>
        <a:xfrm>
          <a:off x="4780658" y="3628022"/>
          <a:ext cx="142126" cy="1871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100"/>
            <a:t>	</a:t>
          </a:r>
          <a:endParaRPr lang="ko-KR" altLang="en-US" sz="1100"/>
        </a:p>
      </xdr:txBody>
    </xdr:sp>
    <xdr:clientData/>
  </xdr:twoCellAnchor>
  <xdr:twoCellAnchor>
    <xdr:from>
      <xdr:col>5</xdr:col>
      <xdr:colOff>650890</xdr:colOff>
      <xdr:row>17</xdr:row>
      <xdr:rowOff>124183</xdr:rowOff>
    </xdr:from>
    <xdr:to>
      <xdr:col>6</xdr:col>
      <xdr:colOff>51427</xdr:colOff>
      <xdr:row>18</xdr:row>
      <xdr:rowOff>113996</xdr:rowOff>
    </xdr:to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 txBox="1"/>
      </xdr:nvSpPr>
      <xdr:spPr>
        <a:xfrm>
          <a:off x="4780658" y="3825326"/>
          <a:ext cx="142126" cy="18711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100"/>
            <a:t>c</a:t>
          </a:r>
          <a:endParaRPr lang="ko-KR" altLang="en-US" sz="1100"/>
        </a:p>
      </xdr:txBody>
    </xdr:sp>
    <xdr:clientData/>
  </xdr:twoCellAnchor>
  <xdr:twoCellAnchor>
    <xdr:from>
      <xdr:col>5</xdr:col>
      <xdr:colOff>650890</xdr:colOff>
      <xdr:row>16</xdr:row>
      <xdr:rowOff>124183</xdr:rowOff>
    </xdr:from>
    <xdr:to>
      <xdr:col>6</xdr:col>
      <xdr:colOff>51427</xdr:colOff>
      <xdr:row>17</xdr:row>
      <xdr:rowOff>113996</xdr:rowOff>
    </xdr:to>
    <xdr:sp macro="" textlink="">
      <xdr:nvSpPr>
        <xdr:cNvPr id="62" name="TextBox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 txBox="1"/>
      </xdr:nvSpPr>
      <xdr:spPr>
        <a:xfrm>
          <a:off x="4780658" y="3628022"/>
          <a:ext cx="142126" cy="1871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100"/>
            <a:t>	</a:t>
          </a:r>
          <a:endParaRPr lang="ko-KR" altLang="en-US" sz="1100"/>
        </a:p>
      </xdr:txBody>
    </xdr:sp>
    <xdr:clientData/>
  </xdr:twoCellAnchor>
  <xdr:twoCellAnchor>
    <xdr:from>
      <xdr:col>5</xdr:col>
      <xdr:colOff>650890</xdr:colOff>
      <xdr:row>16</xdr:row>
      <xdr:rowOff>124183</xdr:rowOff>
    </xdr:from>
    <xdr:to>
      <xdr:col>6</xdr:col>
      <xdr:colOff>51427</xdr:colOff>
      <xdr:row>17</xdr:row>
      <xdr:rowOff>113996</xdr:rowOff>
    </xdr:to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 txBox="1"/>
      </xdr:nvSpPr>
      <xdr:spPr>
        <a:xfrm>
          <a:off x="4780658" y="3628022"/>
          <a:ext cx="142126" cy="1871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100"/>
            <a:t>	</a:t>
          </a:r>
          <a:endParaRPr lang="ko-KR" altLang="en-US" sz="1100"/>
        </a:p>
      </xdr:txBody>
    </xdr:sp>
    <xdr:clientData/>
  </xdr:twoCellAnchor>
  <xdr:twoCellAnchor>
    <xdr:from>
      <xdr:col>5</xdr:col>
      <xdr:colOff>650890</xdr:colOff>
      <xdr:row>16</xdr:row>
      <xdr:rowOff>124183</xdr:rowOff>
    </xdr:from>
    <xdr:to>
      <xdr:col>6</xdr:col>
      <xdr:colOff>51427</xdr:colOff>
      <xdr:row>17</xdr:row>
      <xdr:rowOff>113996</xdr:rowOff>
    </xdr:to>
    <xdr:sp macro="" textlink="">
      <xdr:nvSpPr>
        <xdr:cNvPr id="65" name="TextBox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SpPr txBox="1"/>
      </xdr:nvSpPr>
      <xdr:spPr>
        <a:xfrm>
          <a:off x="4792194" y="3642635"/>
          <a:ext cx="142659" cy="18859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100"/>
            <a:t>	</a:t>
          </a:r>
          <a:endParaRPr lang="ko-KR" altLang="en-US" sz="1100"/>
        </a:p>
      </xdr:txBody>
    </xdr:sp>
    <xdr:clientData/>
  </xdr:twoCellAnchor>
  <xdr:twoCellAnchor>
    <xdr:from>
      <xdr:col>5</xdr:col>
      <xdr:colOff>650890</xdr:colOff>
      <xdr:row>16</xdr:row>
      <xdr:rowOff>124183</xdr:rowOff>
    </xdr:from>
    <xdr:to>
      <xdr:col>6</xdr:col>
      <xdr:colOff>51427</xdr:colOff>
      <xdr:row>17</xdr:row>
      <xdr:rowOff>113996</xdr:rowOff>
    </xdr:to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SpPr txBox="1"/>
      </xdr:nvSpPr>
      <xdr:spPr>
        <a:xfrm>
          <a:off x="4792194" y="3642635"/>
          <a:ext cx="142659" cy="18859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100"/>
            <a:t>	</a:t>
          </a:r>
          <a:endParaRPr lang="ko-KR" altLang="en-US" sz="1100"/>
        </a:p>
      </xdr:txBody>
    </xdr:sp>
    <xdr:clientData/>
  </xdr:twoCellAnchor>
  <xdr:twoCellAnchor>
    <xdr:from>
      <xdr:col>5</xdr:col>
      <xdr:colOff>650890</xdr:colOff>
      <xdr:row>16</xdr:row>
      <xdr:rowOff>124183</xdr:rowOff>
    </xdr:from>
    <xdr:to>
      <xdr:col>6</xdr:col>
      <xdr:colOff>51427</xdr:colOff>
      <xdr:row>17</xdr:row>
      <xdr:rowOff>113996</xdr:rowOff>
    </xdr:to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SpPr txBox="1"/>
      </xdr:nvSpPr>
      <xdr:spPr>
        <a:xfrm>
          <a:off x="4792194" y="3642635"/>
          <a:ext cx="142659" cy="18859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100"/>
            <a:t>	</a:t>
          </a:r>
          <a:endParaRPr lang="ko-KR" altLang="en-US" sz="1100"/>
        </a:p>
      </xdr:txBody>
    </xdr:sp>
    <xdr:clientData/>
  </xdr:twoCellAnchor>
  <xdr:twoCellAnchor>
    <xdr:from>
      <xdr:col>5</xdr:col>
      <xdr:colOff>650890</xdr:colOff>
      <xdr:row>16</xdr:row>
      <xdr:rowOff>124183</xdr:rowOff>
    </xdr:from>
    <xdr:to>
      <xdr:col>6</xdr:col>
      <xdr:colOff>51427</xdr:colOff>
      <xdr:row>17</xdr:row>
      <xdr:rowOff>113996</xdr:rowOff>
    </xdr:to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SpPr txBox="1"/>
      </xdr:nvSpPr>
      <xdr:spPr>
        <a:xfrm>
          <a:off x="4792194" y="3642635"/>
          <a:ext cx="142659" cy="18859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100"/>
            <a:t>	</a:t>
          </a:r>
          <a:endParaRPr lang="ko-KR" altLang="en-US" sz="1100"/>
        </a:p>
      </xdr:txBody>
    </xdr:sp>
    <xdr:clientData/>
  </xdr:twoCellAnchor>
  <xdr:twoCellAnchor>
    <xdr:from>
      <xdr:col>5</xdr:col>
      <xdr:colOff>650890</xdr:colOff>
      <xdr:row>17</xdr:row>
      <xdr:rowOff>124183</xdr:rowOff>
    </xdr:from>
    <xdr:to>
      <xdr:col>6</xdr:col>
      <xdr:colOff>51427</xdr:colOff>
      <xdr:row>18</xdr:row>
      <xdr:rowOff>113996</xdr:rowOff>
    </xdr:to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SpPr txBox="1"/>
      </xdr:nvSpPr>
      <xdr:spPr>
        <a:xfrm>
          <a:off x="4792194" y="3841418"/>
          <a:ext cx="142659" cy="1885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100"/>
            <a:t>c</a:t>
          </a:r>
          <a:endParaRPr lang="ko-KR" altLang="en-US" sz="1100"/>
        </a:p>
      </xdr:txBody>
    </xdr:sp>
    <xdr:clientData/>
  </xdr:twoCellAnchor>
  <xdr:twoCellAnchor>
    <xdr:from>
      <xdr:col>5</xdr:col>
      <xdr:colOff>650890</xdr:colOff>
      <xdr:row>16</xdr:row>
      <xdr:rowOff>124183</xdr:rowOff>
    </xdr:from>
    <xdr:to>
      <xdr:col>6</xdr:col>
      <xdr:colOff>51427</xdr:colOff>
      <xdr:row>17</xdr:row>
      <xdr:rowOff>113996</xdr:rowOff>
    </xdr:to>
    <xdr:sp macro="" textlink="">
      <xdr:nvSpPr>
        <xdr:cNvPr id="70" name="TextBox 69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SpPr txBox="1"/>
      </xdr:nvSpPr>
      <xdr:spPr>
        <a:xfrm>
          <a:off x="4792194" y="3642635"/>
          <a:ext cx="142659" cy="18859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100"/>
            <a:t>	</a:t>
          </a:r>
          <a:endParaRPr lang="ko-KR" altLang="en-US" sz="1100"/>
        </a:p>
      </xdr:txBody>
    </xdr:sp>
    <xdr:clientData/>
  </xdr:twoCellAnchor>
  <xdr:twoCellAnchor>
    <xdr:from>
      <xdr:col>5</xdr:col>
      <xdr:colOff>650890</xdr:colOff>
      <xdr:row>16</xdr:row>
      <xdr:rowOff>124183</xdr:rowOff>
    </xdr:from>
    <xdr:to>
      <xdr:col>6</xdr:col>
      <xdr:colOff>51427</xdr:colOff>
      <xdr:row>17</xdr:row>
      <xdr:rowOff>113996</xdr:rowOff>
    </xdr:to>
    <xdr:sp macro="" textlink="">
      <xdr:nvSpPr>
        <xdr:cNvPr id="71" name="TextBox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SpPr txBox="1"/>
      </xdr:nvSpPr>
      <xdr:spPr>
        <a:xfrm>
          <a:off x="4792194" y="3642635"/>
          <a:ext cx="142659" cy="18859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100"/>
            <a:t>	</a:t>
          </a:r>
          <a:endParaRPr lang="ko-KR" altLang="en-US" sz="1100"/>
        </a:p>
      </xdr:txBody>
    </xdr:sp>
    <xdr:clientData/>
  </xdr:twoCellAnchor>
  <xdr:twoCellAnchor>
    <xdr:from>
      <xdr:col>5</xdr:col>
      <xdr:colOff>650890</xdr:colOff>
      <xdr:row>17</xdr:row>
      <xdr:rowOff>124183</xdr:rowOff>
    </xdr:from>
    <xdr:to>
      <xdr:col>6</xdr:col>
      <xdr:colOff>51427</xdr:colOff>
      <xdr:row>18</xdr:row>
      <xdr:rowOff>113996</xdr:rowOff>
    </xdr:to>
    <xdr:sp macro="" textlink="">
      <xdr:nvSpPr>
        <xdr:cNvPr id="72" name="TextBox 71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SpPr txBox="1"/>
      </xdr:nvSpPr>
      <xdr:spPr>
        <a:xfrm>
          <a:off x="4792194" y="3841418"/>
          <a:ext cx="142659" cy="1885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100"/>
            <a:t>c</a:t>
          </a:r>
          <a:endParaRPr lang="ko-KR" altLang="en-US" sz="1100"/>
        </a:p>
      </xdr:txBody>
    </xdr:sp>
    <xdr:clientData/>
  </xdr:twoCellAnchor>
  <xdr:twoCellAnchor>
    <xdr:from>
      <xdr:col>5</xdr:col>
      <xdr:colOff>650890</xdr:colOff>
      <xdr:row>16</xdr:row>
      <xdr:rowOff>124183</xdr:rowOff>
    </xdr:from>
    <xdr:to>
      <xdr:col>6</xdr:col>
      <xdr:colOff>51427</xdr:colOff>
      <xdr:row>17</xdr:row>
      <xdr:rowOff>113996</xdr:rowOff>
    </xdr:to>
    <xdr:sp macro="" textlink="">
      <xdr:nvSpPr>
        <xdr:cNvPr id="73" name="TextBox 72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SpPr txBox="1"/>
      </xdr:nvSpPr>
      <xdr:spPr>
        <a:xfrm>
          <a:off x="4792194" y="3642635"/>
          <a:ext cx="142659" cy="18859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100"/>
            <a:t>	</a:t>
          </a:r>
          <a:endParaRPr lang="ko-KR" altLang="en-US" sz="1100"/>
        </a:p>
      </xdr:txBody>
    </xdr:sp>
    <xdr:clientData/>
  </xdr:twoCellAnchor>
  <xdr:twoCellAnchor>
    <xdr:from>
      <xdr:col>5</xdr:col>
      <xdr:colOff>650890</xdr:colOff>
      <xdr:row>16</xdr:row>
      <xdr:rowOff>124183</xdr:rowOff>
    </xdr:from>
    <xdr:to>
      <xdr:col>6</xdr:col>
      <xdr:colOff>51427</xdr:colOff>
      <xdr:row>17</xdr:row>
      <xdr:rowOff>113996</xdr:rowOff>
    </xdr:to>
    <xdr:sp macro="" textlink="">
      <xdr:nvSpPr>
        <xdr:cNvPr id="74" name="TextBox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SpPr txBox="1"/>
      </xdr:nvSpPr>
      <xdr:spPr>
        <a:xfrm>
          <a:off x="4792194" y="3642635"/>
          <a:ext cx="142659" cy="18859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100"/>
            <a:t>	</a:t>
          </a:r>
          <a:endParaRPr lang="ko-KR" altLang="en-US" sz="1100"/>
        </a:p>
      </xdr:txBody>
    </xdr:sp>
    <xdr:clientData/>
  </xdr:twoCellAnchor>
  <xdr:twoCellAnchor>
    <xdr:from>
      <xdr:col>5</xdr:col>
      <xdr:colOff>650890</xdr:colOff>
      <xdr:row>17</xdr:row>
      <xdr:rowOff>124183</xdr:rowOff>
    </xdr:from>
    <xdr:to>
      <xdr:col>6</xdr:col>
      <xdr:colOff>51427</xdr:colOff>
      <xdr:row>18</xdr:row>
      <xdr:rowOff>113996</xdr:rowOff>
    </xdr:to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 txBox="1"/>
      </xdr:nvSpPr>
      <xdr:spPr>
        <a:xfrm>
          <a:off x="4784479" y="3845457"/>
          <a:ext cx="141660" cy="1881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100"/>
            <a:t>c</a:t>
          </a:r>
          <a:endParaRPr lang="ko-KR" altLang="en-US" sz="1100"/>
        </a:p>
      </xdr:txBody>
    </xdr:sp>
    <xdr:clientData/>
  </xdr:twoCellAnchor>
  <xdr:twoCellAnchor>
    <xdr:from>
      <xdr:col>5</xdr:col>
      <xdr:colOff>650890</xdr:colOff>
      <xdr:row>16</xdr:row>
      <xdr:rowOff>124183</xdr:rowOff>
    </xdr:from>
    <xdr:to>
      <xdr:col>6</xdr:col>
      <xdr:colOff>51427</xdr:colOff>
      <xdr:row>17</xdr:row>
      <xdr:rowOff>113996</xdr:rowOff>
    </xdr:to>
    <xdr:sp macro="" textlink="">
      <xdr:nvSpPr>
        <xdr:cNvPr id="75" name="TextBox 74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SpPr txBox="1"/>
      </xdr:nvSpPr>
      <xdr:spPr>
        <a:xfrm>
          <a:off x="4784479" y="3647128"/>
          <a:ext cx="141660" cy="1881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100"/>
            <a:t>	</a:t>
          </a:r>
          <a:endParaRPr lang="ko-KR" altLang="en-US" sz="1100"/>
        </a:p>
      </xdr:txBody>
    </xdr:sp>
    <xdr:clientData/>
  </xdr:twoCellAnchor>
  <xdr:twoCellAnchor>
    <xdr:from>
      <xdr:col>5</xdr:col>
      <xdr:colOff>650890</xdr:colOff>
      <xdr:row>16</xdr:row>
      <xdr:rowOff>124183</xdr:rowOff>
    </xdr:from>
    <xdr:to>
      <xdr:col>6</xdr:col>
      <xdr:colOff>51427</xdr:colOff>
      <xdr:row>17</xdr:row>
      <xdr:rowOff>113996</xdr:rowOff>
    </xdr:to>
    <xdr:sp macro="" textlink="">
      <xdr:nvSpPr>
        <xdr:cNvPr id="76" name="TextBox 75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SpPr txBox="1"/>
      </xdr:nvSpPr>
      <xdr:spPr>
        <a:xfrm>
          <a:off x="4784479" y="3647128"/>
          <a:ext cx="141660" cy="1881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100"/>
            <a:t>	</a:t>
          </a:r>
          <a:endParaRPr lang="ko-KR" altLang="en-US" sz="1100"/>
        </a:p>
      </xdr:txBody>
    </xdr:sp>
    <xdr:clientData/>
  </xdr:twoCellAnchor>
  <xdr:twoCellAnchor>
    <xdr:from>
      <xdr:col>5</xdr:col>
      <xdr:colOff>650890</xdr:colOff>
      <xdr:row>17</xdr:row>
      <xdr:rowOff>124183</xdr:rowOff>
    </xdr:from>
    <xdr:to>
      <xdr:col>6</xdr:col>
      <xdr:colOff>51427</xdr:colOff>
      <xdr:row>18</xdr:row>
      <xdr:rowOff>113996</xdr:rowOff>
    </xdr:to>
    <xdr:sp macro="" textlink="">
      <xdr:nvSpPr>
        <xdr:cNvPr id="77" name="TextBox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SpPr txBox="1"/>
      </xdr:nvSpPr>
      <xdr:spPr>
        <a:xfrm>
          <a:off x="4784479" y="3845457"/>
          <a:ext cx="141660" cy="1881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100"/>
            <a:t>c</a:t>
          </a:r>
          <a:endParaRPr lang="ko-KR" altLang="en-US" sz="1100"/>
        </a:p>
      </xdr:txBody>
    </xdr:sp>
    <xdr:clientData/>
  </xdr:twoCellAnchor>
  <xdr:twoCellAnchor>
    <xdr:from>
      <xdr:col>5</xdr:col>
      <xdr:colOff>650890</xdr:colOff>
      <xdr:row>16</xdr:row>
      <xdr:rowOff>124183</xdr:rowOff>
    </xdr:from>
    <xdr:to>
      <xdr:col>6</xdr:col>
      <xdr:colOff>51427</xdr:colOff>
      <xdr:row>17</xdr:row>
      <xdr:rowOff>113996</xdr:rowOff>
    </xdr:to>
    <xdr:sp macro="" textlink="">
      <xdr:nvSpPr>
        <xdr:cNvPr id="78" name="TextBox 77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SpPr txBox="1"/>
      </xdr:nvSpPr>
      <xdr:spPr>
        <a:xfrm>
          <a:off x="4784479" y="3647128"/>
          <a:ext cx="141660" cy="1881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100"/>
            <a:t>	</a:t>
          </a:r>
          <a:endParaRPr lang="ko-KR" altLang="en-US" sz="1100"/>
        </a:p>
      </xdr:txBody>
    </xdr:sp>
    <xdr:clientData/>
  </xdr:twoCellAnchor>
  <xdr:twoCellAnchor>
    <xdr:from>
      <xdr:col>5</xdr:col>
      <xdr:colOff>650890</xdr:colOff>
      <xdr:row>16</xdr:row>
      <xdr:rowOff>124183</xdr:rowOff>
    </xdr:from>
    <xdr:to>
      <xdr:col>6</xdr:col>
      <xdr:colOff>51427</xdr:colOff>
      <xdr:row>17</xdr:row>
      <xdr:rowOff>113996</xdr:rowOff>
    </xdr:to>
    <xdr:sp macro="" textlink="">
      <xdr:nvSpPr>
        <xdr:cNvPr id="79" name="TextBox 78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SpPr txBox="1"/>
      </xdr:nvSpPr>
      <xdr:spPr>
        <a:xfrm>
          <a:off x="4784479" y="3647128"/>
          <a:ext cx="141660" cy="1881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100"/>
            <a:t>	</a:t>
          </a:r>
          <a:endParaRPr lang="ko-KR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333375</xdr:colOff>
      <xdr:row>10</xdr:row>
      <xdr:rowOff>133350</xdr:rowOff>
    </xdr:from>
    <xdr:to>
      <xdr:col>2</xdr:col>
      <xdr:colOff>19050</xdr:colOff>
      <xdr:row>10</xdr:row>
      <xdr:rowOff>314325</xdr:rowOff>
    </xdr:to>
    <xdr:sp macro="" textlink="">
      <xdr:nvSpPr>
        <xdr:cNvPr id="2" name="모서리가 둥근 직사각형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/>
      </xdr:nvSpPr>
      <xdr:spPr>
        <a:xfrm>
          <a:off x="523875" y="4314825"/>
          <a:ext cx="180975" cy="180975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333375</xdr:colOff>
      <xdr:row>11</xdr:row>
      <xdr:rowOff>133350</xdr:rowOff>
    </xdr:from>
    <xdr:to>
      <xdr:col>2</xdr:col>
      <xdr:colOff>19050</xdr:colOff>
      <xdr:row>11</xdr:row>
      <xdr:rowOff>314325</xdr:rowOff>
    </xdr:to>
    <xdr:sp macro="" textlink="">
      <xdr:nvSpPr>
        <xdr:cNvPr id="3" name="모서리가 둥근 직사각형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/>
      </xdr:nvSpPr>
      <xdr:spPr>
        <a:xfrm>
          <a:off x="523875" y="4733925"/>
          <a:ext cx="180975" cy="180975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333375</xdr:colOff>
      <xdr:row>12</xdr:row>
      <xdr:rowOff>124058</xdr:rowOff>
    </xdr:from>
    <xdr:to>
      <xdr:col>2</xdr:col>
      <xdr:colOff>19050</xdr:colOff>
      <xdr:row>12</xdr:row>
      <xdr:rowOff>305033</xdr:rowOff>
    </xdr:to>
    <xdr:sp macro="" textlink="">
      <xdr:nvSpPr>
        <xdr:cNvPr id="4" name="모서리가 둥근 직사각형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SpPr/>
      </xdr:nvSpPr>
      <xdr:spPr>
        <a:xfrm>
          <a:off x="523875" y="5143733"/>
          <a:ext cx="180975" cy="180975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333375</xdr:colOff>
      <xdr:row>13</xdr:row>
      <xdr:rowOff>124058</xdr:rowOff>
    </xdr:from>
    <xdr:to>
      <xdr:col>2</xdr:col>
      <xdr:colOff>19050</xdr:colOff>
      <xdr:row>13</xdr:row>
      <xdr:rowOff>305033</xdr:rowOff>
    </xdr:to>
    <xdr:sp macro="" textlink="">
      <xdr:nvSpPr>
        <xdr:cNvPr id="5" name="모서리가 둥근 직사각형 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SpPr/>
      </xdr:nvSpPr>
      <xdr:spPr>
        <a:xfrm>
          <a:off x="523875" y="5562833"/>
          <a:ext cx="180975" cy="180975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333375</xdr:colOff>
      <xdr:row>14</xdr:row>
      <xdr:rowOff>124057</xdr:rowOff>
    </xdr:from>
    <xdr:to>
      <xdr:col>2</xdr:col>
      <xdr:colOff>19050</xdr:colOff>
      <xdr:row>14</xdr:row>
      <xdr:rowOff>305032</xdr:rowOff>
    </xdr:to>
    <xdr:sp macro="" textlink="">
      <xdr:nvSpPr>
        <xdr:cNvPr id="6" name="모서리가 둥근 직사각형 5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SpPr/>
      </xdr:nvSpPr>
      <xdr:spPr>
        <a:xfrm>
          <a:off x="523875" y="5981932"/>
          <a:ext cx="180975" cy="180975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333375</xdr:colOff>
      <xdr:row>15</xdr:row>
      <xdr:rowOff>124057</xdr:rowOff>
    </xdr:from>
    <xdr:to>
      <xdr:col>2</xdr:col>
      <xdr:colOff>19050</xdr:colOff>
      <xdr:row>15</xdr:row>
      <xdr:rowOff>305032</xdr:rowOff>
    </xdr:to>
    <xdr:sp macro="" textlink="">
      <xdr:nvSpPr>
        <xdr:cNvPr id="7" name="모서리가 둥근 직사각형 6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SpPr/>
      </xdr:nvSpPr>
      <xdr:spPr>
        <a:xfrm>
          <a:off x="523875" y="6401032"/>
          <a:ext cx="180975" cy="180975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333375</xdr:colOff>
      <xdr:row>16</xdr:row>
      <xdr:rowOff>114765</xdr:rowOff>
    </xdr:from>
    <xdr:to>
      <xdr:col>2</xdr:col>
      <xdr:colOff>19050</xdr:colOff>
      <xdr:row>16</xdr:row>
      <xdr:rowOff>295740</xdr:rowOff>
    </xdr:to>
    <xdr:sp macro="" textlink="">
      <xdr:nvSpPr>
        <xdr:cNvPr id="8" name="모서리가 둥근 직사각형 7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SpPr/>
      </xdr:nvSpPr>
      <xdr:spPr>
        <a:xfrm>
          <a:off x="523875" y="6810840"/>
          <a:ext cx="180975" cy="180975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333375</xdr:colOff>
      <xdr:row>17</xdr:row>
      <xdr:rowOff>114765</xdr:rowOff>
    </xdr:from>
    <xdr:to>
      <xdr:col>2</xdr:col>
      <xdr:colOff>19050</xdr:colOff>
      <xdr:row>17</xdr:row>
      <xdr:rowOff>295740</xdr:rowOff>
    </xdr:to>
    <xdr:sp macro="" textlink="">
      <xdr:nvSpPr>
        <xdr:cNvPr id="9" name="모서리가 둥근 직사각형 8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SpPr/>
      </xdr:nvSpPr>
      <xdr:spPr>
        <a:xfrm>
          <a:off x="523875" y="7229940"/>
          <a:ext cx="180975" cy="180975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328729</xdr:colOff>
      <xdr:row>18</xdr:row>
      <xdr:rowOff>114764</xdr:rowOff>
    </xdr:from>
    <xdr:to>
      <xdr:col>2</xdr:col>
      <xdr:colOff>14404</xdr:colOff>
      <xdr:row>18</xdr:row>
      <xdr:rowOff>295739</xdr:rowOff>
    </xdr:to>
    <xdr:sp macro="" textlink="">
      <xdr:nvSpPr>
        <xdr:cNvPr id="10" name="모서리가 둥근 직사각형 9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SpPr/>
      </xdr:nvSpPr>
      <xdr:spPr>
        <a:xfrm>
          <a:off x="519229" y="7649039"/>
          <a:ext cx="180975" cy="180975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328729</xdr:colOff>
      <xdr:row>19</xdr:row>
      <xdr:rowOff>114764</xdr:rowOff>
    </xdr:from>
    <xdr:to>
      <xdr:col>2</xdr:col>
      <xdr:colOff>14404</xdr:colOff>
      <xdr:row>19</xdr:row>
      <xdr:rowOff>295739</xdr:rowOff>
    </xdr:to>
    <xdr:sp macro="" textlink="">
      <xdr:nvSpPr>
        <xdr:cNvPr id="11" name="모서리가 둥근 직사각형 10"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SpPr/>
      </xdr:nvSpPr>
      <xdr:spPr>
        <a:xfrm>
          <a:off x="519229" y="8068139"/>
          <a:ext cx="180975" cy="180975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676275</xdr:colOff>
          <xdr:row>8</xdr:row>
          <xdr:rowOff>28575</xdr:rowOff>
        </xdr:from>
        <xdr:to>
          <xdr:col>7</xdr:col>
          <xdr:colOff>676275</xdr:colOff>
          <xdr:row>12</xdr:row>
          <xdr:rowOff>38100</xdr:rowOff>
        </xdr:to>
        <xdr:pic>
          <xdr:nvPicPr>
            <xdr:cNvPr id="23472" name="그림 1">
              <a:extLst>
                <a:ext uri="{FF2B5EF4-FFF2-40B4-BE49-F238E27FC236}">
                  <a16:creationId xmlns:a16="http://schemas.microsoft.com/office/drawing/2014/main" id="{00000000-0008-0000-0900-0000B05B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C$4:$G$5" spid="_x0000_s328048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2047875" y="2133600"/>
              <a:ext cx="3429000" cy="847725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90.&#44368;&#54924;/&#51109;&#48512;&#44277;&#50976;/5&#50900;&#44208;&#49328;/2023&#45380;%205&#50900;&#44208;&#49328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90.&#44368;&#54924;\&#51109;&#48512;&#44277;&#50976;\25&#45380;&#44208;&#49328;\9&#50900;&#50900;&#47568;&#44208;&#49328;\2025&#45380;9&#50900;%20&#54732;&#44552;&#54788;&#54889;(&#51452;&#51068;%20&#44208;&#49328;)-5&#51452;&#52264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54924;&#44228;\2022&#45380;%20&#54924;&#44228;_&#52572;&#49888;&#51088;&#47308;\9.&#50696;&#49328;&#50504;\2022&#45380;%20&#50696;&#49328;&#50504;(220118)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&#54924;&#44228;2021/2021&#45380;%20&#54924;&#44228;/0.2021&#45380;%20&#50696;&#49328;&#50504;/2021&#45380;%20&#50696;&#49328;&#50504;(210308)_&#50696;&#49328;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&#54924;&#44228;2021\2021&#45380;%20&#54924;&#44228;\0.2021&#45380;%20&#50696;&#49328;&#50504;\2021&#45380;%20&#50696;&#49328;&#50504;(210418)_&#50696;&#49328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결산양식"/>
      <sheetName val="참여현황 및 주요관리항목 지출"/>
      <sheetName val="대출 및 대여금"/>
      <sheetName val="주간보고자료"/>
      <sheetName val="월예산"/>
      <sheetName val="운영비"/>
      <sheetName val="비고란 메모"/>
      <sheetName val="비고란 메모(23년)"/>
      <sheetName val="회계결산 표지"/>
      <sheetName val="전기요금"/>
      <sheetName val="Sheet1"/>
      <sheetName val="Sheet2"/>
      <sheetName val="운영비 (20)"/>
    </sheetNames>
    <sheetDataSet>
      <sheetData sheetId="0" refreshError="1">
        <row r="23">
          <cell r="D23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주별 헌금 장부기록 1-6"/>
      <sheetName val="주별 헌금 장부기록 7-13"/>
      <sheetName val="주별 헌금 장부기록 14-20"/>
      <sheetName val="주별 헌금 장부기록 21-27"/>
      <sheetName val="주별 헌금 장부기록 28-30"/>
      <sheetName val="2025년 헌금 전체 누계"/>
      <sheetName val="인원집계"/>
      <sheetName val="인원집계개인"/>
      <sheetName val="헌금 봉투 번호 (2025)"/>
      <sheetName val="입금전표 (수요집금)"/>
      <sheetName val="입금전표"/>
      <sheetName val="헌금봉투용"/>
      <sheetName val="대집회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종합"/>
      <sheetName val="예산안 보고자료"/>
      <sheetName val="코드별 집계22"/>
      <sheetName val="Sheet2"/>
      <sheetName val="22년예산안"/>
      <sheetName val="Sheet1"/>
      <sheetName val="21년지출현황(월별)"/>
      <sheetName val="Sheet4"/>
      <sheetName val="21년지출"/>
      <sheetName val="21년 수입(요약)"/>
      <sheetName val="계정코드"/>
    </sheetNames>
    <sheetDataSet>
      <sheetData sheetId="0" refreshError="1">
        <row r="1">
          <cell r="D1">
            <v>0</v>
          </cell>
          <cell r="E1">
            <v>0</v>
          </cell>
          <cell r="F1">
            <v>0</v>
          </cell>
        </row>
        <row r="3">
          <cell r="D3" t="str">
            <v>지 출</v>
          </cell>
          <cell r="E3">
            <v>0</v>
          </cell>
          <cell r="F3">
            <v>0</v>
          </cell>
        </row>
        <row r="4">
          <cell r="D4" t="str">
            <v>계정 과목</v>
          </cell>
          <cell r="E4" t="str">
            <v>금액(연)</v>
          </cell>
          <cell r="F4">
            <v>0</v>
          </cell>
        </row>
        <row r="5">
          <cell r="D5">
            <v>0</v>
          </cell>
          <cell r="E5">
            <v>0</v>
          </cell>
          <cell r="F5">
            <v>390746130</v>
          </cell>
        </row>
        <row r="6">
          <cell r="B6">
            <v>300000000</v>
          </cell>
          <cell r="D6" t="str">
            <v>총    회   비</v>
          </cell>
          <cell r="E6">
            <v>66000000</v>
          </cell>
          <cell r="F6">
            <v>0</v>
          </cell>
        </row>
        <row r="7">
          <cell r="B7">
            <v>16160000</v>
          </cell>
          <cell r="D7" t="str">
            <v>페루리마 선교비</v>
          </cell>
          <cell r="E7">
            <v>33600000</v>
          </cell>
          <cell r="F7">
            <v>0</v>
          </cell>
        </row>
        <row r="8">
          <cell r="B8">
            <v>9440000</v>
          </cell>
          <cell r="D8" t="str">
            <v>교회학교 후원비</v>
          </cell>
          <cell r="E8">
            <v>10610000</v>
          </cell>
          <cell r="F8">
            <v>0</v>
          </cell>
        </row>
        <row r="9">
          <cell r="B9">
            <v>24680000</v>
          </cell>
          <cell r="D9" t="str">
            <v>주 일 말 씀</v>
          </cell>
          <cell r="E9">
            <v>6305760</v>
          </cell>
          <cell r="F9">
            <v>0</v>
          </cell>
        </row>
        <row r="10">
          <cell r="B10">
            <v>10650000</v>
          </cell>
          <cell r="D10" t="str">
            <v>전도집회비</v>
          </cell>
          <cell r="E10">
            <v>9970000</v>
          </cell>
          <cell r="F10">
            <v>0</v>
          </cell>
        </row>
        <row r="11">
          <cell r="B11">
            <v>8830000</v>
          </cell>
          <cell r="D11" t="str">
            <v>미디어 선교회비</v>
          </cell>
          <cell r="E11">
            <v>2400000</v>
          </cell>
          <cell r="F11">
            <v>0</v>
          </cell>
        </row>
        <row r="12">
          <cell r="B12">
            <v>15000000</v>
          </cell>
          <cell r="D12" t="str">
            <v>공   과   금</v>
          </cell>
          <cell r="E12">
            <v>26549000</v>
          </cell>
          <cell r="F12">
            <v>0</v>
          </cell>
        </row>
        <row r="13">
          <cell r="D13" t="str">
            <v>운   영   비</v>
          </cell>
          <cell r="E13">
            <v>79310000</v>
          </cell>
          <cell r="F13">
            <v>0</v>
          </cell>
        </row>
        <row r="14">
          <cell r="D14" t="str">
            <v>사무&amp;비품</v>
          </cell>
          <cell r="E14">
            <v>6377000</v>
          </cell>
          <cell r="F14">
            <v>0</v>
          </cell>
        </row>
        <row r="15">
          <cell r="D15" t="str">
            <v>차량유지비</v>
          </cell>
          <cell r="E15">
            <v>16421000</v>
          </cell>
          <cell r="F15">
            <v>0</v>
          </cell>
        </row>
        <row r="16">
          <cell r="D16" t="str">
            <v>시설&amp;운영관리비</v>
          </cell>
          <cell r="E16">
            <v>65503370</v>
          </cell>
          <cell r="F16">
            <v>0</v>
          </cell>
        </row>
        <row r="17">
          <cell r="D17" t="str">
            <v>타교회헌금</v>
          </cell>
          <cell r="E17">
            <v>6900000</v>
          </cell>
          <cell r="F17">
            <v>0</v>
          </cell>
        </row>
        <row r="18">
          <cell r="D18" t="str">
            <v>부서지원비</v>
          </cell>
          <cell r="E18">
            <v>11000000</v>
          </cell>
          <cell r="F18">
            <v>0</v>
          </cell>
        </row>
        <row r="19">
          <cell r="D19" t="str">
            <v>기 타 비 용</v>
          </cell>
          <cell r="E19">
            <v>24800000</v>
          </cell>
          <cell r="F19">
            <v>0</v>
          </cell>
        </row>
        <row r="20">
          <cell r="D20" t="str">
            <v>예   비   비</v>
          </cell>
          <cell r="E20">
            <v>25000000</v>
          </cell>
          <cell r="F20">
            <v>0</v>
          </cell>
        </row>
        <row r="21">
          <cell r="D21">
            <v>0</v>
          </cell>
          <cell r="E21">
            <v>0</v>
          </cell>
          <cell r="F21">
            <v>64400000</v>
          </cell>
        </row>
        <row r="22">
          <cell r="D22" t="str">
            <v>원 금 상 환</v>
          </cell>
          <cell r="E22">
            <v>57200000</v>
          </cell>
          <cell r="F22">
            <v>0</v>
          </cell>
        </row>
        <row r="23">
          <cell r="D23" t="str">
            <v>대 출 이 자</v>
          </cell>
          <cell r="E23">
            <v>7200000</v>
          </cell>
          <cell r="F23">
            <v>0</v>
          </cell>
        </row>
        <row r="24">
          <cell r="D24">
            <v>0</v>
          </cell>
          <cell r="E24">
            <v>0</v>
          </cell>
          <cell r="F24">
            <v>0</v>
          </cell>
        </row>
        <row r="25">
          <cell r="D25" t="str">
            <v>기 타 비 용</v>
          </cell>
          <cell r="E25">
            <v>0</v>
          </cell>
          <cell r="F25">
            <v>0</v>
          </cell>
        </row>
        <row r="26">
          <cell r="D26">
            <v>0</v>
          </cell>
          <cell r="E26">
            <v>0</v>
          </cell>
          <cell r="F26">
            <v>3820000</v>
          </cell>
        </row>
        <row r="27">
          <cell r="D27" t="str">
            <v>전도지원비</v>
          </cell>
          <cell r="E27">
            <v>0</v>
          </cell>
          <cell r="F27">
            <v>0</v>
          </cell>
        </row>
        <row r="28">
          <cell r="D28" t="str">
            <v>경 조 사 비</v>
          </cell>
          <cell r="E28">
            <v>2820000</v>
          </cell>
          <cell r="F28">
            <v>0</v>
          </cell>
        </row>
        <row r="29">
          <cell r="D29" t="str">
            <v>기 타 비 용</v>
          </cell>
          <cell r="E29">
            <v>1000000</v>
          </cell>
          <cell r="F29">
            <v>0</v>
          </cell>
        </row>
        <row r="30">
          <cell r="D30">
            <v>0</v>
          </cell>
          <cell r="E30">
            <v>0</v>
          </cell>
          <cell r="F30">
            <v>18500000</v>
          </cell>
        </row>
        <row r="31">
          <cell r="D31" t="str">
            <v>선교회비</v>
          </cell>
          <cell r="E31">
            <v>7300000</v>
          </cell>
          <cell r="F31">
            <v>0</v>
          </cell>
        </row>
        <row r="32">
          <cell r="D32" t="str">
            <v>세계선교회비</v>
          </cell>
          <cell r="E32">
            <v>11200000</v>
          </cell>
          <cell r="F32">
            <v>0</v>
          </cell>
        </row>
        <row r="33">
          <cell r="D33">
            <v>0</v>
          </cell>
          <cell r="E33">
            <v>0</v>
          </cell>
          <cell r="F33">
            <v>0</v>
          </cell>
        </row>
        <row r="35">
          <cell r="D35">
            <v>0</v>
          </cell>
          <cell r="E35">
            <v>0</v>
          </cell>
          <cell r="F35">
            <v>477466130</v>
          </cell>
        </row>
        <row r="36">
          <cell r="F36">
            <v>0</v>
          </cell>
        </row>
        <row r="37">
          <cell r="F37">
            <v>0</v>
          </cell>
        </row>
        <row r="50">
          <cell r="F50">
            <v>0</v>
          </cell>
        </row>
        <row r="51">
          <cell r="F51">
            <v>0</v>
          </cell>
        </row>
        <row r="52">
          <cell r="F52">
            <v>0</v>
          </cell>
        </row>
        <row r="53">
          <cell r="F53">
            <v>0</v>
          </cell>
        </row>
        <row r="54">
          <cell r="F54">
            <v>0</v>
          </cell>
        </row>
        <row r="55">
          <cell r="F55">
            <v>0</v>
          </cell>
        </row>
        <row r="56">
          <cell r="F56">
            <v>0</v>
          </cell>
        </row>
        <row r="57">
          <cell r="F57">
            <v>0</v>
          </cell>
        </row>
        <row r="58">
          <cell r="F58">
            <v>0</v>
          </cell>
        </row>
        <row r="59">
          <cell r="F59">
            <v>0</v>
          </cell>
        </row>
        <row r="60">
          <cell r="F60">
            <v>0</v>
          </cell>
        </row>
        <row r="61">
          <cell r="F61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종합"/>
      <sheetName val="예산안 보고자료"/>
      <sheetName val="코드별 집계21"/>
      <sheetName val="21년예산안"/>
      <sheetName val="20년지출현황(월별)"/>
      <sheetName val="20년지출"/>
      <sheetName val="20년 수입(요약)"/>
      <sheetName val="계정코드"/>
    </sheetNames>
    <sheetDataSet>
      <sheetData sheetId="0">
        <row r="1">
          <cell r="D1">
            <v>0</v>
          </cell>
          <cell r="E1">
            <v>0</v>
          </cell>
          <cell r="F1">
            <v>0</v>
          </cell>
        </row>
        <row r="3">
          <cell r="D3" t="str">
            <v>지 출</v>
          </cell>
          <cell r="E3">
            <v>0</v>
          </cell>
          <cell r="F3">
            <v>0</v>
          </cell>
        </row>
        <row r="4">
          <cell r="D4" t="str">
            <v>계정 과목</v>
          </cell>
          <cell r="E4" t="str">
            <v>금액(연)</v>
          </cell>
          <cell r="F4">
            <v>0</v>
          </cell>
        </row>
        <row r="5">
          <cell r="D5">
            <v>0</v>
          </cell>
          <cell r="E5">
            <v>0</v>
          </cell>
          <cell r="F5">
            <v>417780815</v>
          </cell>
        </row>
        <row r="6">
          <cell r="D6" t="str">
            <v>총    회   비</v>
          </cell>
          <cell r="E6">
            <v>66000000</v>
          </cell>
          <cell r="F6">
            <v>0</v>
          </cell>
        </row>
        <row r="7">
          <cell r="D7" t="str">
            <v>페루리마 선교비</v>
          </cell>
          <cell r="E7">
            <v>33600000</v>
          </cell>
          <cell r="F7">
            <v>0</v>
          </cell>
        </row>
        <row r="8">
          <cell r="D8" t="str">
            <v>교회학교 후원비</v>
          </cell>
          <cell r="E8">
            <v>12380000</v>
          </cell>
          <cell r="F8">
            <v>2526.12</v>
          </cell>
        </row>
        <row r="9">
          <cell r="D9" t="str">
            <v>주 일 말 씀</v>
          </cell>
          <cell r="E9">
            <v>5730000</v>
          </cell>
          <cell r="F9">
            <v>3987.9</v>
          </cell>
        </row>
        <row r="10">
          <cell r="D10" t="str">
            <v>전도집회비</v>
          </cell>
          <cell r="E10">
            <v>9549035</v>
          </cell>
          <cell r="F10">
            <v>5286.9350000000004</v>
          </cell>
        </row>
        <row r="11">
          <cell r="D11" t="str">
            <v>미디어 선교회비</v>
          </cell>
          <cell r="E11">
            <v>2400000</v>
          </cell>
          <cell r="F11">
            <v>0</v>
          </cell>
        </row>
        <row r="12">
          <cell r="D12" t="str">
            <v>공   과   금</v>
          </cell>
          <cell r="E12">
            <v>25498000</v>
          </cell>
          <cell r="F12">
            <v>0</v>
          </cell>
        </row>
        <row r="13">
          <cell r="D13" t="str">
            <v>운   영   비</v>
          </cell>
          <cell r="E13">
            <v>77124000</v>
          </cell>
          <cell r="F13">
            <v>0</v>
          </cell>
        </row>
        <row r="14">
          <cell r="D14" t="str">
            <v>사무&amp;비품</v>
          </cell>
          <cell r="E14">
            <v>5175450</v>
          </cell>
          <cell r="F14">
            <v>0</v>
          </cell>
        </row>
        <row r="15">
          <cell r="D15" t="str">
            <v>차량유지비</v>
          </cell>
          <cell r="E15">
            <v>12151080</v>
          </cell>
          <cell r="F15">
            <v>0</v>
          </cell>
        </row>
        <row r="16">
          <cell r="D16" t="str">
            <v>시설&amp;운영관리비</v>
          </cell>
          <cell r="E16">
            <v>13210860</v>
          </cell>
          <cell r="F16">
            <v>0</v>
          </cell>
        </row>
        <row r="17">
          <cell r="D17" t="str">
            <v>타교회헌금</v>
          </cell>
          <cell r="E17">
            <v>8600000</v>
          </cell>
          <cell r="F17">
            <v>0</v>
          </cell>
        </row>
        <row r="18">
          <cell r="D18" t="str">
            <v>부서지원비</v>
          </cell>
          <cell r="E18">
            <v>112876000</v>
          </cell>
          <cell r="F18">
            <v>12876000</v>
          </cell>
        </row>
        <row r="19">
          <cell r="D19" t="str">
            <v>기 타 비 용</v>
          </cell>
          <cell r="E19">
            <v>8486390</v>
          </cell>
          <cell r="F19">
            <v>0</v>
          </cell>
        </row>
        <row r="20">
          <cell r="D20" t="str">
            <v>예   비   비</v>
          </cell>
          <cell r="E20">
            <v>25000000</v>
          </cell>
          <cell r="F20">
            <v>0</v>
          </cell>
        </row>
        <row r="21">
          <cell r="D21">
            <v>0</v>
          </cell>
          <cell r="E21">
            <v>0</v>
          </cell>
          <cell r="F21">
            <v>65600000</v>
          </cell>
        </row>
        <row r="22">
          <cell r="D22" t="str">
            <v>원 금 상 환</v>
          </cell>
          <cell r="E22">
            <v>57200000</v>
          </cell>
          <cell r="F22">
            <v>0</v>
          </cell>
        </row>
        <row r="23">
          <cell r="D23" t="str">
            <v>대 출 이 자</v>
          </cell>
          <cell r="E23">
            <v>8400000</v>
          </cell>
          <cell r="F23">
            <v>0</v>
          </cell>
        </row>
        <row r="24">
          <cell r="D24">
            <v>0</v>
          </cell>
          <cell r="E24">
            <v>0</v>
          </cell>
          <cell r="F24">
            <v>0</v>
          </cell>
        </row>
        <row r="25">
          <cell r="D25" t="str">
            <v>기 타 비 용</v>
          </cell>
          <cell r="E25">
            <v>0</v>
          </cell>
          <cell r="F25">
            <v>0</v>
          </cell>
        </row>
        <row r="26">
          <cell r="D26">
            <v>0</v>
          </cell>
          <cell r="E26">
            <v>0</v>
          </cell>
          <cell r="F26">
            <v>6120000</v>
          </cell>
        </row>
        <row r="27">
          <cell r="D27" t="str">
            <v>전도지원비</v>
          </cell>
          <cell r="E27">
            <v>2500000</v>
          </cell>
          <cell r="F27">
            <v>0</v>
          </cell>
        </row>
        <row r="28">
          <cell r="D28" t="str">
            <v>경 조 사 비</v>
          </cell>
          <cell r="E28">
            <v>2820000</v>
          </cell>
          <cell r="F28">
            <v>0</v>
          </cell>
        </row>
        <row r="29">
          <cell r="D29" t="str">
            <v>기 타 비 용</v>
          </cell>
          <cell r="E29">
            <v>800000</v>
          </cell>
          <cell r="F29">
            <v>0</v>
          </cell>
        </row>
        <row r="30">
          <cell r="D30">
            <v>0</v>
          </cell>
          <cell r="E30">
            <v>0</v>
          </cell>
          <cell r="F30">
            <v>12907913</v>
          </cell>
        </row>
        <row r="31">
          <cell r="D31" t="str">
            <v>선교회비</v>
          </cell>
          <cell r="E31">
            <v>6738913</v>
          </cell>
          <cell r="F31">
            <v>0</v>
          </cell>
        </row>
        <row r="32">
          <cell r="D32" t="str">
            <v>세계선교회비</v>
          </cell>
          <cell r="E32">
            <v>6169000</v>
          </cell>
          <cell r="F32">
            <v>0</v>
          </cell>
        </row>
        <row r="33">
          <cell r="D33">
            <v>0</v>
          </cell>
          <cell r="E33">
            <v>0</v>
          </cell>
          <cell r="F33">
            <v>0</v>
          </cell>
        </row>
        <row r="35">
          <cell r="D35">
            <v>0</v>
          </cell>
          <cell r="E35">
            <v>0</v>
          </cell>
          <cell r="F35">
            <v>502408728</v>
          </cell>
        </row>
        <row r="36">
          <cell r="F36">
            <v>0</v>
          </cell>
        </row>
        <row r="53">
          <cell r="F53">
            <v>0</v>
          </cell>
        </row>
        <row r="54">
          <cell r="F54">
            <v>0</v>
          </cell>
        </row>
        <row r="55">
          <cell r="F55">
            <v>0</v>
          </cell>
        </row>
        <row r="56">
          <cell r="F56">
            <v>0</v>
          </cell>
        </row>
        <row r="57">
          <cell r="F57">
            <v>0</v>
          </cell>
        </row>
        <row r="58">
          <cell r="F58">
            <v>0</v>
          </cell>
        </row>
        <row r="59">
          <cell r="F59">
            <v>0</v>
          </cell>
        </row>
        <row r="60">
          <cell r="F60">
            <v>0</v>
          </cell>
        </row>
        <row r="61">
          <cell r="F61">
            <v>0</v>
          </cell>
        </row>
        <row r="62">
          <cell r="F62">
            <v>0</v>
          </cell>
        </row>
        <row r="63">
          <cell r="F63">
            <v>0</v>
          </cell>
        </row>
        <row r="64">
          <cell r="F64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종합"/>
      <sheetName val="예산안 보고자료"/>
      <sheetName val="코드별 집계21"/>
      <sheetName val="21년예산안"/>
      <sheetName val="20년지출현황(월별)"/>
      <sheetName val="20년지출"/>
      <sheetName val="20년 수입(요약)"/>
      <sheetName val="계정코드"/>
    </sheetNames>
    <sheetDataSet>
      <sheetData sheetId="0" refreshError="1">
        <row r="1">
          <cell r="D1">
            <v>0</v>
          </cell>
          <cell r="E1">
            <v>0</v>
          </cell>
          <cell r="F1">
            <v>0</v>
          </cell>
        </row>
        <row r="3">
          <cell r="D3" t="str">
            <v>지 출</v>
          </cell>
          <cell r="E3">
            <v>0</v>
          </cell>
          <cell r="F3">
            <v>0</v>
          </cell>
        </row>
        <row r="4">
          <cell r="D4" t="str">
            <v>계정 과목</v>
          </cell>
          <cell r="E4" t="str">
            <v>금액(연)</v>
          </cell>
          <cell r="F4">
            <v>0</v>
          </cell>
        </row>
        <row r="5">
          <cell r="D5">
            <v>0</v>
          </cell>
          <cell r="E5">
            <v>0</v>
          </cell>
          <cell r="F5">
            <v>466716400</v>
          </cell>
        </row>
        <row r="6">
          <cell r="D6" t="str">
            <v>총    회   비</v>
          </cell>
          <cell r="E6">
            <v>66000000</v>
          </cell>
          <cell r="F6">
            <v>0</v>
          </cell>
        </row>
        <row r="7">
          <cell r="D7" t="str">
            <v>페루리마 선교비</v>
          </cell>
          <cell r="E7">
            <v>33600000</v>
          </cell>
          <cell r="F7">
            <v>0</v>
          </cell>
        </row>
        <row r="8">
          <cell r="D8" t="str">
            <v>교회학교 후원비</v>
          </cell>
          <cell r="E8">
            <v>12380000</v>
          </cell>
          <cell r="F8">
            <v>2526.12</v>
          </cell>
        </row>
        <row r="9">
          <cell r="D9" t="str">
            <v>주 일 말 씀</v>
          </cell>
          <cell r="E9">
            <v>6000000</v>
          </cell>
          <cell r="F9">
            <v>3987.9</v>
          </cell>
        </row>
        <row r="10">
          <cell r="D10" t="str">
            <v>전도집회비</v>
          </cell>
          <cell r="E10">
            <v>10485000</v>
          </cell>
          <cell r="F10">
            <v>5286.9350000000004</v>
          </cell>
        </row>
        <row r="11">
          <cell r="D11" t="str">
            <v>미디어 선교회비</v>
          </cell>
          <cell r="E11">
            <v>2400000</v>
          </cell>
          <cell r="F11">
            <v>0</v>
          </cell>
        </row>
        <row r="12">
          <cell r="D12" t="str">
            <v>공   과   금</v>
          </cell>
          <cell r="E12">
            <v>25498000</v>
          </cell>
          <cell r="F12">
            <v>0</v>
          </cell>
        </row>
        <row r="13">
          <cell r="D13" t="str">
            <v>운   영   비</v>
          </cell>
          <cell r="E13">
            <v>80124000</v>
          </cell>
          <cell r="F13">
            <v>0</v>
          </cell>
        </row>
        <row r="14">
          <cell r="D14" t="str">
            <v>사무&amp;비품</v>
          </cell>
          <cell r="E14">
            <v>5175450</v>
          </cell>
          <cell r="F14">
            <v>0</v>
          </cell>
        </row>
        <row r="15">
          <cell r="D15" t="str">
            <v>차량유지비</v>
          </cell>
          <cell r="E15">
            <v>32074680</v>
          </cell>
          <cell r="F15">
            <v>0</v>
          </cell>
        </row>
        <row r="16">
          <cell r="D16" t="str">
            <v>시설&amp;운영관리비</v>
          </cell>
          <cell r="E16">
            <v>30035470</v>
          </cell>
          <cell r="F16">
            <v>0</v>
          </cell>
        </row>
        <row r="17">
          <cell r="D17" t="str">
            <v>타교회헌금</v>
          </cell>
          <cell r="E17">
            <v>11600000</v>
          </cell>
          <cell r="F17">
            <v>0</v>
          </cell>
        </row>
        <row r="18">
          <cell r="D18" t="str">
            <v>부서지원비</v>
          </cell>
          <cell r="E18">
            <v>112876000</v>
          </cell>
          <cell r="F18">
            <v>112876000</v>
          </cell>
        </row>
        <row r="19">
          <cell r="D19" t="str">
            <v>기 타 비 용</v>
          </cell>
          <cell r="E19">
            <v>13467800</v>
          </cell>
          <cell r="F19">
            <v>0</v>
          </cell>
        </row>
        <row r="20">
          <cell r="D20" t="str">
            <v>예   비   비</v>
          </cell>
          <cell r="E20">
            <v>25000000</v>
          </cell>
          <cell r="F20">
            <v>0</v>
          </cell>
        </row>
        <row r="21">
          <cell r="D21">
            <v>0</v>
          </cell>
          <cell r="E21">
            <v>0</v>
          </cell>
          <cell r="F21">
            <v>65600000</v>
          </cell>
        </row>
        <row r="22">
          <cell r="D22" t="str">
            <v>원 금 상 환</v>
          </cell>
          <cell r="E22">
            <v>57200000</v>
          </cell>
          <cell r="F22">
            <v>0</v>
          </cell>
        </row>
        <row r="23">
          <cell r="D23" t="str">
            <v>대 출 이 자</v>
          </cell>
          <cell r="E23">
            <v>8400000</v>
          </cell>
          <cell r="F23">
            <v>0</v>
          </cell>
        </row>
        <row r="24">
          <cell r="D24">
            <v>0</v>
          </cell>
          <cell r="E24">
            <v>0</v>
          </cell>
          <cell r="F24">
            <v>0</v>
          </cell>
        </row>
        <row r="25">
          <cell r="D25" t="str">
            <v>기 타 비 용</v>
          </cell>
          <cell r="E25">
            <v>0</v>
          </cell>
          <cell r="F25">
            <v>0</v>
          </cell>
        </row>
        <row r="26">
          <cell r="D26">
            <v>0</v>
          </cell>
          <cell r="E26">
            <v>0</v>
          </cell>
          <cell r="F26">
            <v>6120000</v>
          </cell>
        </row>
        <row r="27">
          <cell r="D27" t="str">
            <v>전도지원비</v>
          </cell>
          <cell r="E27">
            <v>2500000</v>
          </cell>
          <cell r="F27">
            <v>0</v>
          </cell>
        </row>
        <row r="28">
          <cell r="D28" t="str">
            <v>경 조 사 비</v>
          </cell>
          <cell r="E28">
            <v>2820000</v>
          </cell>
          <cell r="F28">
            <v>0</v>
          </cell>
        </row>
        <row r="29">
          <cell r="D29" t="str">
            <v>기 타 비 용</v>
          </cell>
          <cell r="E29">
            <v>800000</v>
          </cell>
          <cell r="F29">
            <v>0</v>
          </cell>
        </row>
        <row r="30">
          <cell r="D30">
            <v>0</v>
          </cell>
          <cell r="E30">
            <v>0</v>
          </cell>
          <cell r="F30">
            <v>12907913</v>
          </cell>
        </row>
        <row r="31">
          <cell r="D31" t="str">
            <v>선교회비</v>
          </cell>
          <cell r="E31">
            <v>6738913</v>
          </cell>
          <cell r="F31">
            <v>0</v>
          </cell>
        </row>
        <row r="32">
          <cell r="D32" t="str">
            <v>세계선교회비</v>
          </cell>
          <cell r="E32">
            <v>6169000</v>
          </cell>
          <cell r="F32">
            <v>0</v>
          </cell>
        </row>
        <row r="33">
          <cell r="D33">
            <v>0</v>
          </cell>
          <cell r="E33">
            <v>0</v>
          </cell>
          <cell r="F33">
            <v>0</v>
          </cell>
        </row>
        <row r="35">
          <cell r="D35">
            <v>0</v>
          </cell>
          <cell r="E35">
            <v>0</v>
          </cell>
          <cell r="F35">
            <v>551344313</v>
          </cell>
        </row>
        <row r="36">
          <cell r="F36">
            <v>0</v>
          </cell>
        </row>
        <row r="53">
          <cell r="F53">
            <v>0</v>
          </cell>
        </row>
        <row r="54">
          <cell r="F54">
            <v>0</v>
          </cell>
        </row>
        <row r="55">
          <cell r="F55">
            <v>0</v>
          </cell>
        </row>
        <row r="56">
          <cell r="F56">
            <v>0</v>
          </cell>
        </row>
        <row r="57">
          <cell r="F57">
            <v>0</v>
          </cell>
        </row>
        <row r="58">
          <cell r="F58">
            <v>0</v>
          </cell>
        </row>
        <row r="59">
          <cell r="F59">
            <v>0</v>
          </cell>
        </row>
        <row r="60">
          <cell r="F60">
            <v>0</v>
          </cell>
        </row>
        <row r="61">
          <cell r="F61">
            <v>0</v>
          </cell>
        </row>
        <row r="62">
          <cell r="F62">
            <v>0</v>
          </cell>
        </row>
        <row r="63">
          <cell r="F63">
            <v>0</v>
          </cell>
        </row>
        <row r="64">
          <cell r="F64">
            <v>0</v>
          </cell>
        </row>
      </sheetData>
      <sheetData sheetId="1" refreshError="1"/>
      <sheetData sheetId="2"/>
      <sheetData sheetId="3"/>
      <sheetData sheetId="4"/>
      <sheetData sheetId="5"/>
      <sheetData sheetId="6" refreshError="1"/>
      <sheetData sheetId="7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FF0000"/>
    <pageSetUpPr fitToPage="1"/>
  </sheetPr>
  <dimension ref="A1:Q64"/>
  <sheetViews>
    <sheetView showGridLines="0" tabSelected="1" zoomScale="146" zoomScaleNormal="146" zoomScaleSheetLayoutView="13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F59" sqref="F59"/>
    </sheetView>
  </sheetViews>
  <sheetFormatPr defaultRowHeight="17.399999999999999"/>
  <cols>
    <col min="1" max="1" width="3.69921875" customWidth="1"/>
    <col min="2" max="2" width="13.69921875" customWidth="1"/>
    <col min="3" max="3" width="9.3984375" customWidth="1"/>
    <col min="4" max="4" width="13.5" style="24" bestFit="1" customWidth="1"/>
    <col min="5" max="5" width="0.5" style="24" customWidth="1"/>
    <col min="6" max="6" width="13.5" customWidth="1"/>
    <col min="7" max="8" width="9.69921875" customWidth="1"/>
    <col min="9" max="9" width="22" customWidth="1"/>
    <col min="10" max="10" width="0.8984375" customWidth="1"/>
    <col min="11" max="11" width="11.8984375" bestFit="1" customWidth="1"/>
    <col min="12" max="12" width="1.59765625" style="24" customWidth="1"/>
    <col min="13" max="13" width="12" style="24" bestFit="1" customWidth="1"/>
    <col min="14" max="14" width="1.19921875" style="24" customWidth="1"/>
    <col min="15" max="15" width="10.8984375" style="24" bestFit="1" customWidth="1"/>
    <col min="16" max="17" width="12" style="24" bestFit="1" customWidth="1"/>
    <col min="18" max="19" width="10.8984375" bestFit="1" customWidth="1"/>
  </cols>
  <sheetData>
    <row r="1" spans="1:17" ht="45.75" customHeight="1">
      <c r="A1" s="235" t="s">
        <v>220</v>
      </c>
      <c r="B1" s="235"/>
      <c r="C1" s="235"/>
      <c r="D1" s="235"/>
      <c r="E1" s="235"/>
      <c r="F1" s="235"/>
      <c r="G1" s="235"/>
      <c r="H1" s="235"/>
      <c r="I1" s="235"/>
    </row>
    <row r="2" spans="1:17" ht="14.25" customHeight="1" thickBot="1">
      <c r="A2" s="172" t="s">
        <v>224</v>
      </c>
      <c r="B2" s="171"/>
    </row>
    <row r="3" spans="1:17" ht="15" customHeight="1">
      <c r="A3" s="372" t="s">
        <v>38</v>
      </c>
      <c r="B3" s="373"/>
      <c r="C3" s="376" t="s">
        <v>25</v>
      </c>
      <c r="D3" s="360"/>
      <c r="E3" s="66"/>
      <c r="F3" s="377" t="s">
        <v>38</v>
      </c>
      <c r="G3" s="376" t="s">
        <v>28</v>
      </c>
      <c r="H3" s="376"/>
      <c r="I3" s="360" t="s">
        <v>0</v>
      </c>
    </row>
    <row r="4" spans="1:17" s="1" customFormat="1" ht="15" customHeight="1" thickBot="1">
      <c r="A4" s="374"/>
      <c r="B4" s="375"/>
      <c r="C4" s="75" t="s">
        <v>26</v>
      </c>
      <c r="D4" s="76" t="s">
        <v>27</v>
      </c>
      <c r="E4" s="67"/>
      <c r="F4" s="378"/>
      <c r="G4" s="75" t="s">
        <v>26</v>
      </c>
      <c r="H4" s="75" t="s">
        <v>27</v>
      </c>
      <c r="I4" s="361"/>
      <c r="L4" s="43"/>
      <c r="M4" s="43"/>
      <c r="N4" s="43"/>
      <c r="O4" s="43"/>
      <c r="P4" s="43"/>
      <c r="Q4" s="43"/>
    </row>
    <row r="5" spans="1:17" s="1" customFormat="1" ht="15.75" customHeight="1" thickTop="1">
      <c r="A5" s="362" t="s">
        <v>33</v>
      </c>
      <c r="B5" s="71" t="s">
        <v>85</v>
      </c>
      <c r="C5" s="73"/>
      <c r="D5" s="73"/>
      <c r="E5" s="68"/>
      <c r="F5" s="74" t="s">
        <v>82</v>
      </c>
      <c r="G5" s="72"/>
      <c r="H5" s="72"/>
      <c r="I5" s="52"/>
      <c r="L5" s="43"/>
      <c r="M5" s="43"/>
      <c r="N5" s="43"/>
      <c r="O5" s="43"/>
      <c r="P5" s="43"/>
      <c r="Q5" s="43"/>
    </row>
    <row r="6" spans="1:17" ht="15.75" customHeight="1">
      <c r="A6" s="362"/>
      <c r="B6" s="5" t="s">
        <v>160</v>
      </c>
      <c r="C6" s="73"/>
      <c r="D6" s="73"/>
      <c r="E6" s="68"/>
      <c r="F6" s="5" t="s">
        <v>212</v>
      </c>
      <c r="G6" s="72"/>
      <c r="H6" s="72"/>
      <c r="I6" s="51"/>
    </row>
    <row r="7" spans="1:17" ht="15.75" customHeight="1">
      <c r="A7" s="362"/>
      <c r="B7" s="5" t="s">
        <v>161</v>
      </c>
      <c r="C7" s="73"/>
      <c r="D7" s="73"/>
      <c r="E7" s="65"/>
      <c r="F7" s="58" t="s">
        <v>162</v>
      </c>
      <c r="G7" s="72"/>
      <c r="H7" s="72"/>
      <c r="I7" s="51"/>
    </row>
    <row r="8" spans="1:17" ht="15.75" customHeight="1">
      <c r="A8" s="362"/>
      <c r="B8" s="5" t="s">
        <v>163</v>
      </c>
      <c r="C8" s="73"/>
      <c r="D8" s="73"/>
      <c r="E8" s="65"/>
      <c r="F8" s="58" t="s">
        <v>164</v>
      </c>
      <c r="G8" s="72"/>
      <c r="H8" s="72"/>
      <c r="I8" s="51"/>
    </row>
    <row r="9" spans="1:17" ht="15.75" customHeight="1">
      <c r="A9" s="362"/>
      <c r="B9" s="5" t="s">
        <v>212</v>
      </c>
      <c r="C9" s="73"/>
      <c r="D9" s="73"/>
      <c r="E9" s="65"/>
      <c r="F9" s="58" t="s">
        <v>83</v>
      </c>
      <c r="G9" s="72"/>
      <c r="H9" s="72"/>
      <c r="I9" s="51"/>
    </row>
    <row r="10" spans="1:17" ht="15.75" customHeight="1">
      <c r="A10" s="362"/>
      <c r="B10" s="5" t="s">
        <v>165</v>
      </c>
      <c r="C10" s="73"/>
      <c r="D10" s="73"/>
      <c r="E10" s="65"/>
      <c r="F10" s="58" t="s">
        <v>166</v>
      </c>
      <c r="G10" s="72"/>
      <c r="H10" s="72"/>
      <c r="I10" s="51"/>
    </row>
    <row r="11" spans="1:17" ht="15.75" customHeight="1">
      <c r="A11" s="362"/>
      <c r="B11" s="5" t="s">
        <v>167</v>
      </c>
      <c r="C11" s="73"/>
      <c r="D11" s="73"/>
      <c r="E11" s="65"/>
      <c r="F11" s="58" t="s">
        <v>168</v>
      </c>
      <c r="G11" s="72"/>
      <c r="H11" s="72"/>
      <c r="I11" s="51"/>
    </row>
    <row r="12" spans="1:17" ht="15.75" customHeight="1">
      <c r="A12" s="362"/>
      <c r="B12" s="5" t="s">
        <v>169</v>
      </c>
      <c r="C12" s="73"/>
      <c r="D12" s="73"/>
      <c r="E12" s="65"/>
      <c r="F12" s="58" t="s">
        <v>170</v>
      </c>
      <c r="G12" s="72"/>
      <c r="H12" s="72"/>
      <c r="I12" s="51"/>
    </row>
    <row r="13" spans="1:17" ht="15.75" customHeight="1">
      <c r="A13" s="362"/>
      <c r="B13" s="5" t="s">
        <v>219</v>
      </c>
      <c r="C13" s="73"/>
      <c r="D13" s="73"/>
      <c r="E13" s="65"/>
      <c r="F13" s="58" t="s">
        <v>171</v>
      </c>
      <c r="G13" s="72"/>
      <c r="H13" s="72"/>
      <c r="I13" s="51"/>
    </row>
    <row r="14" spans="1:17" ht="15.75" customHeight="1">
      <c r="A14" s="362"/>
      <c r="B14" s="7"/>
      <c r="C14" s="34"/>
      <c r="D14" s="34"/>
      <c r="E14" s="65"/>
      <c r="F14" s="58" t="s">
        <v>5</v>
      </c>
      <c r="G14" s="72"/>
      <c r="H14" s="72"/>
      <c r="I14" s="51"/>
    </row>
    <row r="15" spans="1:17" ht="15.75" customHeight="1">
      <c r="A15" s="362"/>
      <c r="B15" s="8"/>
      <c r="C15" s="9"/>
      <c r="D15" s="35"/>
      <c r="E15" s="68"/>
      <c r="F15" s="58" t="s">
        <v>172</v>
      </c>
      <c r="G15" s="72"/>
      <c r="H15" s="72"/>
      <c r="I15" s="51"/>
    </row>
    <row r="16" spans="1:17" ht="15.75" customHeight="1">
      <c r="A16" s="362"/>
      <c r="B16" s="8"/>
      <c r="C16" s="9"/>
      <c r="D16" s="35"/>
      <c r="E16" s="68"/>
      <c r="F16" s="58" t="s">
        <v>84</v>
      </c>
      <c r="G16" s="72"/>
      <c r="H16" s="72"/>
      <c r="I16" s="51"/>
    </row>
    <row r="17" spans="1:12" ht="15.75" customHeight="1">
      <c r="A17" s="362"/>
      <c r="B17" s="10"/>
      <c r="C17" s="9"/>
      <c r="D17" s="35"/>
      <c r="E17" s="68"/>
      <c r="F17" s="58" t="s">
        <v>173</v>
      </c>
      <c r="G17" s="72"/>
      <c r="H17" s="72"/>
      <c r="I17" s="51"/>
    </row>
    <row r="18" spans="1:12" ht="15.75" customHeight="1" thickBot="1">
      <c r="A18" s="362"/>
      <c r="B18" s="10"/>
      <c r="C18" s="9"/>
      <c r="D18" s="35"/>
      <c r="E18" s="68"/>
      <c r="F18" s="59" t="s">
        <v>174</v>
      </c>
      <c r="G18" s="72">
        <v>0</v>
      </c>
      <c r="H18" s="72"/>
      <c r="I18" s="51"/>
    </row>
    <row r="19" spans="1:12" ht="15.75" customHeight="1" thickTop="1">
      <c r="A19" s="363" t="s">
        <v>31</v>
      </c>
      <c r="B19" s="364"/>
      <c r="C19" s="113">
        <f>SUM(C5:C13)</f>
        <v>0</v>
      </c>
      <c r="D19" s="114">
        <f>SUM(D5:D13)</f>
        <v>0</v>
      </c>
      <c r="E19" s="69"/>
      <c r="F19" s="115" t="s">
        <v>32</v>
      </c>
      <c r="G19" s="113">
        <f>SUM(G5:G18)</f>
        <v>0</v>
      </c>
      <c r="H19" s="113">
        <f>SUM(H5:H18)</f>
        <v>0</v>
      </c>
      <c r="I19" s="52"/>
      <c r="K19" s="24"/>
    </row>
    <row r="20" spans="1:12" ht="15.75" customHeight="1" thickBot="1">
      <c r="A20" s="365" t="s">
        <v>175</v>
      </c>
      <c r="B20" s="366"/>
      <c r="C20" s="234"/>
      <c r="D20" s="217"/>
      <c r="E20" s="69"/>
      <c r="F20" s="215" t="s">
        <v>96</v>
      </c>
      <c r="G20" s="216" t="s">
        <v>176</v>
      </c>
      <c r="H20" s="217">
        <f>D20+D19-H19</f>
        <v>0</v>
      </c>
      <c r="I20" s="53"/>
      <c r="L20" s="24">
        <v>25310626</v>
      </c>
    </row>
    <row r="21" spans="1:12" ht="16.2" customHeight="1" thickTop="1">
      <c r="A21" s="367" t="s">
        <v>177</v>
      </c>
      <c r="B21" s="71" t="s">
        <v>178</v>
      </c>
      <c r="C21" s="319"/>
      <c r="D21" s="319"/>
      <c r="E21" s="69"/>
      <c r="F21" s="218" t="s">
        <v>179</v>
      </c>
      <c r="G21" s="320"/>
      <c r="H21" s="320"/>
      <c r="I21" s="219"/>
    </row>
    <row r="22" spans="1:12" ht="16.2" customHeight="1" thickBot="1">
      <c r="A22" s="368"/>
      <c r="B22" s="220" t="s">
        <v>204</v>
      </c>
      <c r="C22" s="73"/>
      <c r="D22" s="73"/>
      <c r="E22" s="69"/>
      <c r="F22" s="221" t="s">
        <v>180</v>
      </c>
      <c r="G22" s="2"/>
      <c r="H22" s="2"/>
      <c r="I22" s="222"/>
    </row>
    <row r="23" spans="1:12" ht="15.75" hidden="1" customHeight="1" thickBot="1">
      <c r="A23" s="369"/>
      <c r="B23" s="62" t="s">
        <v>181</v>
      </c>
      <c r="C23" s="72">
        <f>[1]결산양식!$D$23</f>
        <v>0</v>
      </c>
      <c r="D23" s="56">
        <v>0</v>
      </c>
      <c r="E23" s="68"/>
      <c r="F23" s="61"/>
      <c r="G23" s="2"/>
      <c r="H23" s="72"/>
      <c r="I23" s="223"/>
    </row>
    <row r="24" spans="1:12" ht="15.75" customHeight="1" thickTop="1">
      <c r="A24" s="379" t="s">
        <v>31</v>
      </c>
      <c r="B24" s="380"/>
      <c r="C24" s="224">
        <f>SUM(C21:C23)</f>
        <v>0</v>
      </c>
      <c r="D24" s="225">
        <f>SUM(D21:D23)</f>
        <v>0</v>
      </c>
      <c r="E24" s="69"/>
      <c r="F24" s="226" t="s">
        <v>32</v>
      </c>
      <c r="G24" s="224">
        <f>SUM(G21:G23)</f>
        <v>0</v>
      </c>
      <c r="H24" s="224">
        <f>SUM(H21:H23)</f>
        <v>0</v>
      </c>
      <c r="I24" s="227"/>
    </row>
    <row r="25" spans="1:12" ht="16.2" customHeight="1" thickBot="1">
      <c r="A25" s="370" t="s">
        <v>175</v>
      </c>
      <c r="B25" s="371"/>
      <c r="C25" s="228"/>
      <c r="D25" s="231"/>
      <c r="E25" s="69"/>
      <c r="F25" s="229" t="s">
        <v>96</v>
      </c>
      <c r="G25" s="230"/>
      <c r="H25" s="231">
        <f>D25+D24-H24</f>
        <v>0</v>
      </c>
      <c r="I25" s="232"/>
      <c r="L25" s="24">
        <v>990000</v>
      </c>
    </row>
    <row r="26" spans="1:12" ht="15.75" customHeight="1">
      <c r="A26" s="381" t="s">
        <v>44</v>
      </c>
      <c r="B26" s="3" t="s">
        <v>182</v>
      </c>
      <c r="C26" s="56"/>
      <c r="D26" s="56"/>
      <c r="E26" s="68"/>
      <c r="F26" s="60" t="s">
        <v>183</v>
      </c>
      <c r="G26" s="72"/>
      <c r="H26" s="72"/>
      <c r="I26" s="54"/>
    </row>
    <row r="27" spans="1:12" ht="15.75" customHeight="1">
      <c r="A27" s="382"/>
      <c r="B27" s="5" t="s">
        <v>184</v>
      </c>
      <c r="C27" s="56"/>
      <c r="D27" s="56"/>
      <c r="E27" s="68"/>
      <c r="F27" s="61" t="s">
        <v>185</v>
      </c>
      <c r="G27" s="72"/>
      <c r="H27" s="72"/>
      <c r="I27" s="55"/>
    </row>
    <row r="28" spans="1:12" ht="15.75" customHeight="1">
      <c r="A28" s="382"/>
      <c r="B28" s="5" t="s">
        <v>213</v>
      </c>
      <c r="C28" s="338"/>
      <c r="D28" s="338"/>
      <c r="E28" s="68"/>
      <c r="F28" s="61" t="s">
        <v>189</v>
      </c>
      <c r="G28" s="72"/>
      <c r="H28" s="72"/>
      <c r="I28" s="324"/>
    </row>
    <row r="29" spans="1:12" ht="15.75" customHeight="1" thickBot="1">
      <c r="A29" s="382"/>
      <c r="B29" s="5" t="s">
        <v>214</v>
      </c>
      <c r="C29" s="326"/>
      <c r="D29" s="326"/>
      <c r="E29" s="68"/>
      <c r="F29" s="61" t="s">
        <v>215</v>
      </c>
      <c r="G29" s="72"/>
      <c r="H29" s="72"/>
      <c r="I29" s="334"/>
    </row>
    <row r="30" spans="1:12" ht="15.75" customHeight="1" thickTop="1">
      <c r="A30" s="363" t="s">
        <v>31</v>
      </c>
      <c r="B30" s="364"/>
      <c r="C30" s="282">
        <f xml:space="preserve"> SUM(C26:C29)</f>
        <v>0</v>
      </c>
      <c r="D30" s="283">
        <f>SUM(D26:D29)</f>
        <v>0</v>
      </c>
      <c r="E30" s="69"/>
      <c r="F30" s="134" t="s">
        <v>32</v>
      </c>
      <c r="G30" s="133">
        <f>SUM(G26:G29)</f>
        <v>0</v>
      </c>
      <c r="H30" s="133">
        <f>SUM(H26:H29)</f>
        <v>0</v>
      </c>
      <c r="I30" s="52"/>
    </row>
    <row r="31" spans="1:12" ht="15.75" customHeight="1" thickBot="1">
      <c r="A31" s="383" t="s">
        <v>175</v>
      </c>
      <c r="B31" s="384"/>
      <c r="C31" s="174"/>
      <c r="D31" s="284"/>
      <c r="E31" s="69"/>
      <c r="F31" s="184" t="s">
        <v>96</v>
      </c>
      <c r="G31" s="185"/>
      <c r="H31" s="183">
        <f>D31+D30-H30</f>
        <v>0</v>
      </c>
      <c r="I31" s="53"/>
      <c r="L31" s="24">
        <v>9125016</v>
      </c>
    </row>
    <row r="32" spans="1:12" ht="15.75" customHeight="1">
      <c r="A32" s="385" t="s">
        <v>37</v>
      </c>
      <c r="B32" s="3" t="s">
        <v>186</v>
      </c>
      <c r="C32" s="56"/>
      <c r="D32" s="56"/>
      <c r="E32" s="68"/>
      <c r="F32" s="60" t="s">
        <v>187</v>
      </c>
      <c r="G32" s="281">
        <v>0</v>
      </c>
      <c r="H32" s="281">
        <v>0</v>
      </c>
      <c r="I32" s="236"/>
    </row>
    <row r="33" spans="1:12" ht="15.75" customHeight="1">
      <c r="A33" s="362"/>
      <c r="B33" s="5" t="s">
        <v>169</v>
      </c>
      <c r="C33" s="56"/>
      <c r="D33" s="56"/>
      <c r="E33" s="68"/>
      <c r="F33" s="61" t="s">
        <v>188</v>
      </c>
      <c r="G33" s="281">
        <v>0</v>
      </c>
      <c r="H33" s="281">
        <v>0</v>
      </c>
      <c r="I33" s="325"/>
    </row>
    <row r="34" spans="1:12" ht="15.75" customHeight="1" thickBot="1">
      <c r="A34" s="362"/>
      <c r="B34" s="5" t="s">
        <v>167</v>
      </c>
      <c r="C34" s="56"/>
      <c r="D34" s="56"/>
      <c r="E34" s="68"/>
      <c r="F34" s="61" t="s">
        <v>189</v>
      </c>
      <c r="G34" s="281">
        <v>0</v>
      </c>
      <c r="H34" s="281">
        <v>0</v>
      </c>
      <c r="I34" s="239"/>
    </row>
    <row r="35" spans="1:12" ht="15.75" customHeight="1" thickTop="1">
      <c r="A35" s="363" t="s">
        <v>31</v>
      </c>
      <c r="B35" s="364"/>
      <c r="C35" s="116">
        <f>SUM(C32:C34)</f>
        <v>0</v>
      </c>
      <c r="D35" s="114">
        <f>SUM(D32:D34)</f>
        <v>0</v>
      </c>
      <c r="E35" s="69"/>
      <c r="F35" s="115" t="s">
        <v>32</v>
      </c>
      <c r="G35" s="116">
        <f>SUM(G32:G34)</f>
        <v>0</v>
      </c>
      <c r="H35" s="116">
        <f>SUM(H32:H34)</f>
        <v>0</v>
      </c>
      <c r="I35" s="237"/>
    </row>
    <row r="36" spans="1:12" ht="15.75" customHeight="1" thickBot="1">
      <c r="A36" s="383" t="s">
        <v>175</v>
      </c>
      <c r="B36" s="384"/>
      <c r="C36" s="174"/>
      <c r="D36" s="300"/>
      <c r="E36" s="69"/>
      <c r="F36" s="184" t="s">
        <v>96</v>
      </c>
      <c r="G36" s="185"/>
      <c r="H36" s="183">
        <f>D36+D35-H35</f>
        <v>0</v>
      </c>
      <c r="I36" s="238"/>
      <c r="L36" s="24">
        <v>2409274</v>
      </c>
    </row>
    <row r="37" spans="1:12" ht="15.75" customHeight="1">
      <c r="A37" s="381" t="s">
        <v>39</v>
      </c>
      <c r="B37" s="3" t="s">
        <v>190</v>
      </c>
      <c r="C37" s="56"/>
      <c r="D37" s="56"/>
      <c r="E37" s="68"/>
      <c r="F37" s="60" t="s">
        <v>190</v>
      </c>
      <c r="G37" s="56"/>
      <c r="H37" s="56"/>
      <c r="I37" s="54"/>
    </row>
    <row r="38" spans="1:12" ht="15.75" customHeight="1" thickBot="1">
      <c r="A38" s="382"/>
      <c r="B38" s="5" t="s">
        <v>191</v>
      </c>
      <c r="C38" s="56"/>
      <c r="D38" s="56"/>
      <c r="E38" s="68"/>
      <c r="F38" s="61" t="s">
        <v>191</v>
      </c>
      <c r="G38" s="56"/>
      <c r="H38" s="56"/>
      <c r="I38" s="55"/>
    </row>
    <row r="39" spans="1:12" ht="15.75" customHeight="1" thickTop="1">
      <c r="A39" s="363" t="s">
        <v>31</v>
      </c>
      <c r="B39" s="364"/>
      <c r="C39" s="116">
        <f>SUM(C37:C38)</f>
        <v>0</v>
      </c>
      <c r="D39" s="283">
        <f>SUM(D37:D38)</f>
        <v>0</v>
      </c>
      <c r="E39" s="69"/>
      <c r="F39" s="115" t="s">
        <v>32</v>
      </c>
      <c r="G39" s="116">
        <f>SUM(G37:G38)</f>
        <v>0</v>
      </c>
      <c r="H39" s="116">
        <f>SUM(H37:H38)</f>
        <v>0</v>
      </c>
      <c r="I39" s="52"/>
    </row>
    <row r="40" spans="1:12" ht="14.4" customHeight="1" thickBot="1">
      <c r="A40" s="383" t="s">
        <v>175</v>
      </c>
      <c r="B40" s="384"/>
      <c r="C40" s="174"/>
      <c r="D40" s="284"/>
      <c r="E40" s="69"/>
      <c r="F40" s="184" t="s">
        <v>96</v>
      </c>
      <c r="G40" s="185"/>
      <c r="H40" s="183">
        <f>D40+D39-H39</f>
        <v>0</v>
      </c>
      <c r="I40" s="53"/>
      <c r="L40" s="24">
        <v>1012000</v>
      </c>
    </row>
    <row r="41" spans="1:12" ht="15.75" customHeight="1">
      <c r="A41" s="386" t="s">
        <v>130</v>
      </c>
      <c r="B41" s="3" t="s">
        <v>131</v>
      </c>
      <c r="C41" s="56"/>
      <c r="D41" s="56"/>
      <c r="E41" s="68"/>
      <c r="F41" s="233" t="s">
        <v>132</v>
      </c>
      <c r="G41" s="72"/>
      <c r="H41" s="72"/>
      <c r="I41" s="310"/>
      <c r="J41" s="309">
        <v>1700000</v>
      </c>
    </row>
    <row r="42" spans="1:12" ht="15.75" customHeight="1">
      <c r="A42" s="387"/>
      <c r="B42" s="5" t="s">
        <v>132</v>
      </c>
      <c r="C42" s="56"/>
      <c r="D42" s="56"/>
      <c r="E42" s="68"/>
      <c r="F42" s="61" t="s">
        <v>133</v>
      </c>
      <c r="G42" s="72"/>
      <c r="H42" s="72"/>
      <c r="I42" s="324"/>
    </row>
    <row r="43" spans="1:12" ht="15.75" customHeight="1" thickBot="1">
      <c r="A43" s="387"/>
      <c r="B43" s="6" t="s">
        <v>225</v>
      </c>
      <c r="C43" s="56"/>
      <c r="D43" s="56"/>
      <c r="E43" s="68"/>
      <c r="F43" s="245" t="s">
        <v>202</v>
      </c>
      <c r="G43" s="72"/>
      <c r="H43" s="72"/>
      <c r="I43" s="308"/>
    </row>
    <row r="44" spans="1:12" ht="15.75" customHeight="1" thickTop="1">
      <c r="A44" s="363" t="s">
        <v>31</v>
      </c>
      <c r="B44" s="364"/>
      <c r="C44" s="116">
        <f>SUM(C41:C43)</f>
        <v>0</v>
      </c>
      <c r="D44" s="114"/>
      <c r="E44" s="69"/>
      <c r="F44" s="115" t="s">
        <v>32</v>
      </c>
      <c r="G44" s="116">
        <f>SUM(G41:G43)</f>
        <v>0</v>
      </c>
      <c r="H44" s="116">
        <f>SUM(H41:H43)</f>
        <v>0</v>
      </c>
      <c r="I44" s="52"/>
    </row>
    <row r="45" spans="1:12" ht="15.75" customHeight="1" thickBot="1">
      <c r="A45" s="383" t="s">
        <v>175</v>
      </c>
      <c r="B45" s="384"/>
      <c r="C45" s="174"/>
      <c r="D45" s="300"/>
      <c r="E45" s="69"/>
      <c r="F45" s="184" t="s">
        <v>96</v>
      </c>
      <c r="G45" s="185"/>
      <c r="H45" s="183">
        <f>D45+D44-H44</f>
        <v>0</v>
      </c>
      <c r="I45" s="53"/>
      <c r="L45" s="24">
        <v>1012000</v>
      </c>
    </row>
    <row r="46" spans="1:12" ht="15.75" customHeight="1">
      <c r="A46" s="386" t="s">
        <v>192</v>
      </c>
      <c r="B46" s="3" t="s">
        <v>197</v>
      </c>
      <c r="C46" s="56"/>
      <c r="D46" s="56"/>
      <c r="E46" s="68"/>
      <c r="F46" s="60" t="s">
        <v>199</v>
      </c>
      <c r="G46" s="72"/>
      <c r="H46" s="72"/>
      <c r="I46" s="327"/>
    </row>
    <row r="47" spans="1:12" ht="15.75" customHeight="1" thickBot="1">
      <c r="A47" s="387"/>
      <c r="B47" s="6" t="s">
        <v>208</v>
      </c>
      <c r="C47" s="56"/>
      <c r="D47" s="56"/>
      <c r="E47" s="68"/>
      <c r="F47" s="63" t="s">
        <v>173</v>
      </c>
      <c r="G47" s="72"/>
      <c r="H47" s="72"/>
      <c r="I47" s="308"/>
    </row>
    <row r="48" spans="1:12" ht="15.75" customHeight="1" thickTop="1">
      <c r="A48" s="363" t="s">
        <v>31</v>
      </c>
      <c r="B48" s="364"/>
      <c r="C48" s="116">
        <f>SUM(C46:C47)</f>
        <v>0</v>
      </c>
      <c r="D48" s="114">
        <f>SUM(D46:D47)</f>
        <v>0</v>
      </c>
      <c r="E48" s="69"/>
      <c r="F48" s="115" t="s">
        <v>32</v>
      </c>
      <c r="G48" s="116">
        <f>SUM(G46:G47)</f>
        <v>0</v>
      </c>
      <c r="H48" s="116">
        <f>SUM(H46:H47)</f>
        <v>0</v>
      </c>
      <c r="I48" s="52"/>
    </row>
    <row r="49" spans="1:13" ht="15.75" customHeight="1" thickBot="1">
      <c r="A49" s="383" t="s">
        <v>175</v>
      </c>
      <c r="B49" s="384"/>
      <c r="C49" s="174"/>
      <c r="D49" s="300"/>
      <c r="E49" s="69"/>
      <c r="F49" s="184" t="s">
        <v>96</v>
      </c>
      <c r="G49" s="185"/>
      <c r="H49" s="183">
        <f>D49+D48-H48</f>
        <v>0</v>
      </c>
      <c r="I49" s="53"/>
      <c r="L49" s="24">
        <v>1012000</v>
      </c>
    </row>
    <row r="50" spans="1:13" ht="15.75" customHeight="1">
      <c r="A50" s="388" t="s">
        <v>193</v>
      </c>
      <c r="B50" s="28" t="s">
        <v>31</v>
      </c>
      <c r="C50" s="27">
        <f>C39+C35+C30+C24+C19+C44+C48</f>
        <v>0</v>
      </c>
      <c r="D50" s="27">
        <f>D39+D35+D30+D24+D19+D44+D48</f>
        <v>0</v>
      </c>
      <c r="E50" s="69"/>
      <c r="F50" s="64" t="s">
        <v>32</v>
      </c>
      <c r="G50" s="27">
        <f>G39+G35+G30+G24+G19+G44+G48</f>
        <v>0</v>
      </c>
      <c r="H50" s="27">
        <f>SUM(H19,H24,H30,H35,H39,H44,H48)</f>
        <v>0</v>
      </c>
      <c r="I50" s="29"/>
      <c r="L50" s="24">
        <v>30534085</v>
      </c>
    </row>
    <row r="51" spans="1:13" ht="15.75" customHeight="1" thickBot="1">
      <c r="A51" s="389"/>
      <c r="B51" s="26" t="s">
        <v>175</v>
      </c>
      <c r="C51" s="285">
        <f>C40+C36+C31+C25+C20</f>
        <v>0</v>
      </c>
      <c r="D51" s="301">
        <f>SUM(D49,D45,D40,D36,D31,D25,D20)</f>
        <v>0</v>
      </c>
      <c r="E51" s="70"/>
      <c r="F51" s="186" t="s">
        <v>96</v>
      </c>
      <c r="G51" s="187"/>
      <c r="H51" s="188">
        <f>SUM(H20,H25,H31,H36,H40,H45,H49)</f>
        <v>0</v>
      </c>
      <c r="I51" s="30"/>
      <c r="L51" s="24">
        <v>38846916</v>
      </c>
    </row>
    <row r="52" spans="1:13" ht="7.5" customHeight="1">
      <c r="A52" s="85"/>
      <c r="B52" s="88"/>
      <c r="C52" s="84"/>
      <c r="D52" s="86"/>
      <c r="E52" s="86"/>
      <c r="F52" s="23"/>
      <c r="G52" s="84"/>
      <c r="H52" s="84"/>
      <c r="I52" s="87"/>
    </row>
    <row r="53" spans="1:13">
      <c r="A53" s="22" t="s">
        <v>194</v>
      </c>
      <c r="D53" s="89"/>
      <c r="E53" s="89"/>
      <c r="G53" s="22"/>
      <c r="M53" s="24" t="s">
        <v>209</v>
      </c>
    </row>
    <row r="54" spans="1:13">
      <c r="A54" s="44"/>
    </row>
    <row r="60" spans="1:13">
      <c r="F60" s="44"/>
      <c r="H60" s="90"/>
    </row>
    <row r="61" spans="1:13">
      <c r="H61" s="90"/>
    </row>
    <row r="62" spans="1:13" hidden="1">
      <c r="D62" s="24">
        <v>73100796</v>
      </c>
      <c r="H62" s="90"/>
    </row>
    <row r="63" spans="1:13" hidden="1">
      <c r="D63" s="90">
        <f>D50-D62</f>
        <v>-73100796</v>
      </c>
    </row>
    <row r="64" spans="1:13">
      <c r="H64" s="210"/>
    </row>
  </sheetData>
  <mergeCells count="27">
    <mergeCell ref="A36:B36"/>
    <mergeCell ref="A46:A47"/>
    <mergeCell ref="A48:B48"/>
    <mergeCell ref="A49:B49"/>
    <mergeCell ref="A50:A51"/>
    <mergeCell ref="A37:A38"/>
    <mergeCell ref="A39:B39"/>
    <mergeCell ref="A40:B40"/>
    <mergeCell ref="A41:A43"/>
    <mergeCell ref="A44:B44"/>
    <mergeCell ref="A45:B45"/>
    <mergeCell ref="A26:A29"/>
    <mergeCell ref="A30:B30"/>
    <mergeCell ref="A31:B31"/>
    <mergeCell ref="A32:A34"/>
    <mergeCell ref="A35:B35"/>
    <mergeCell ref="A25:B25"/>
    <mergeCell ref="A3:B4"/>
    <mergeCell ref="C3:D3"/>
    <mergeCell ref="F3:F4"/>
    <mergeCell ref="G3:H3"/>
    <mergeCell ref="A24:B24"/>
    <mergeCell ref="I3:I4"/>
    <mergeCell ref="A5:A18"/>
    <mergeCell ref="A19:B19"/>
    <mergeCell ref="A20:B20"/>
    <mergeCell ref="A21:A23"/>
  </mergeCells>
  <phoneticPr fontId="2" type="noConversion"/>
  <pageMargins left="3.937007874015748E-2" right="3.937007874015748E-2" top="0.15748031496062992" bottom="0.15748031496062992" header="0" footer="0"/>
  <pageSetup paperSize="9" scale="96" fitToHeight="0" orientation="portrait" r:id="rId1"/>
  <rowBreaks count="1" manualBreakCount="1">
    <brk id="51" max="9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0000"/>
    <pageSetUpPr fitToPage="1"/>
  </sheetPr>
  <dimension ref="A1:R36"/>
  <sheetViews>
    <sheetView showGridLines="0" workbookViewId="0">
      <pane xSplit="3" ySplit="4" topLeftCell="D15" activePane="bottomRight" state="frozen"/>
      <selection pane="topRight" activeCell="D1" sqref="D1"/>
      <selection pane="bottomLeft" activeCell="A5" sqref="A5"/>
      <selection pane="bottomRight" activeCell="M32" sqref="M32"/>
    </sheetView>
  </sheetViews>
  <sheetFormatPr defaultColWidth="9" defaultRowHeight="13.8"/>
  <cols>
    <col min="1" max="1" width="6.5" style="14" customWidth="1"/>
    <col min="2" max="2" width="7.8984375" style="14" customWidth="1"/>
    <col min="3" max="3" width="6.69921875" style="14" customWidth="1"/>
    <col min="4" max="4" width="9.19921875" style="14" bestFit="1" customWidth="1"/>
    <col min="5" max="8" width="9" style="14"/>
    <col min="9" max="9" width="9" style="14" customWidth="1"/>
    <col min="10" max="11" width="9.5" style="14" customWidth="1"/>
    <col min="12" max="14" width="9" style="14" customWidth="1"/>
    <col min="15" max="16" width="9" style="14"/>
    <col min="17" max="17" width="9.3984375" style="14" bestFit="1" customWidth="1"/>
    <col min="18" max="16384" width="9" style="14"/>
  </cols>
  <sheetData>
    <row r="1" spans="1:18" ht="21">
      <c r="A1" s="12" t="s">
        <v>88</v>
      </c>
      <c r="B1" s="12"/>
      <c r="C1" s="12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7"/>
      <c r="P1" s="17"/>
    </row>
    <row r="2" spans="1:18" ht="12" customHeight="1" thickBot="1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8"/>
      <c r="N2" s="413" t="s">
        <v>227</v>
      </c>
      <c r="O2" s="414"/>
      <c r="P2" s="414"/>
    </row>
    <row r="3" spans="1:18" ht="16.5" customHeight="1">
      <c r="A3" s="372" t="s">
        <v>75</v>
      </c>
      <c r="B3" s="415"/>
      <c r="C3" s="373"/>
      <c r="D3" s="419" t="s">
        <v>124</v>
      </c>
      <c r="E3" s="420"/>
      <c r="F3" s="420"/>
      <c r="G3" s="420"/>
      <c r="H3" s="420"/>
      <c r="I3" s="420"/>
      <c r="J3" s="420"/>
      <c r="K3" s="420"/>
      <c r="L3" s="420"/>
      <c r="M3" s="420"/>
      <c r="N3" s="420"/>
      <c r="O3" s="420"/>
      <c r="P3" s="421"/>
    </row>
    <row r="4" spans="1:18" ht="17.25" customHeight="1">
      <c r="A4" s="416"/>
      <c r="B4" s="417"/>
      <c r="C4" s="418"/>
      <c r="D4" s="286" t="s">
        <v>210</v>
      </c>
      <c r="E4" s="286" t="s">
        <v>76</v>
      </c>
      <c r="F4" s="286" t="s">
        <v>64</v>
      </c>
      <c r="G4" s="286" t="s">
        <v>65</v>
      </c>
      <c r="H4" s="286" t="s">
        <v>66</v>
      </c>
      <c r="I4" s="286" t="s">
        <v>67</v>
      </c>
      <c r="J4" s="286" t="s">
        <v>68</v>
      </c>
      <c r="K4" s="286" t="s">
        <v>69</v>
      </c>
      <c r="L4" s="286" t="s">
        <v>70</v>
      </c>
      <c r="M4" s="286" t="s">
        <v>71</v>
      </c>
      <c r="N4" s="286" t="s">
        <v>72</v>
      </c>
      <c r="O4" s="286" t="s">
        <v>73</v>
      </c>
      <c r="P4" s="287" t="s">
        <v>74</v>
      </c>
      <c r="Q4" s="31" t="s">
        <v>128</v>
      </c>
      <c r="R4" s="31" t="s">
        <v>129</v>
      </c>
    </row>
    <row r="5" spans="1:18" ht="15.75" customHeight="1">
      <c r="A5" s="422" t="s">
        <v>30</v>
      </c>
      <c r="B5" s="422"/>
      <c r="C5" s="288" t="s">
        <v>135</v>
      </c>
      <c r="D5" s="289"/>
      <c r="E5" s="295"/>
      <c r="F5" s="289"/>
      <c r="G5" s="290"/>
      <c r="H5" s="290"/>
      <c r="I5" s="289"/>
      <c r="J5" s="289"/>
      <c r="K5" s="289"/>
      <c r="L5" s="289"/>
      <c r="M5" s="289"/>
      <c r="N5" s="289"/>
      <c r="O5" s="289"/>
      <c r="P5" s="289"/>
      <c r="Q5" s="163"/>
      <c r="R5" s="163"/>
    </row>
    <row r="6" spans="1:18" ht="15.75" customHeight="1">
      <c r="A6" s="404"/>
      <c r="B6" s="404"/>
      <c r="C6" s="48" t="s">
        <v>136</v>
      </c>
      <c r="D6" s="41"/>
      <c r="E6" s="296"/>
      <c r="F6" s="41"/>
      <c r="G6" s="279"/>
      <c r="H6" s="302"/>
      <c r="I6" s="302"/>
      <c r="J6" s="302"/>
      <c r="K6" s="302"/>
      <c r="L6" s="41"/>
      <c r="M6" s="41"/>
      <c r="N6" s="41"/>
      <c r="O6" s="41"/>
      <c r="P6" s="41"/>
      <c r="Q6" s="163" t="e">
        <f>M6/L6</f>
        <v>#DIV/0!</v>
      </c>
      <c r="R6" s="163" t="e">
        <f>M6/K6</f>
        <v>#DIV/0!</v>
      </c>
    </row>
    <row r="7" spans="1:18" ht="15.75" customHeight="1">
      <c r="A7" s="404" t="s">
        <v>137</v>
      </c>
      <c r="B7" s="404"/>
      <c r="C7" s="48" t="s">
        <v>138</v>
      </c>
      <c r="D7" s="33"/>
      <c r="E7" s="297"/>
      <c r="F7" s="33"/>
      <c r="G7" s="280"/>
      <c r="H7" s="280"/>
      <c r="I7" s="280"/>
      <c r="J7" s="280"/>
      <c r="K7" s="33"/>
      <c r="L7" s="33"/>
      <c r="M7" s="33"/>
      <c r="N7" s="33"/>
      <c r="O7" s="33"/>
      <c r="P7" s="33"/>
      <c r="Q7" s="163"/>
      <c r="R7" s="163"/>
    </row>
    <row r="8" spans="1:18" ht="15.75" customHeight="1">
      <c r="A8" s="404"/>
      <c r="B8" s="404"/>
      <c r="C8" s="48" t="s">
        <v>80</v>
      </c>
      <c r="D8" s="41"/>
      <c r="E8" s="296"/>
      <c r="F8" s="41"/>
      <c r="G8" s="279"/>
      <c r="H8" s="302"/>
      <c r="I8" s="41"/>
      <c r="J8" s="41"/>
      <c r="K8" s="302"/>
      <c r="L8" s="41"/>
      <c r="M8" s="41"/>
      <c r="N8" s="41"/>
      <c r="O8" s="41"/>
      <c r="P8" s="41"/>
      <c r="Q8" s="163" t="e">
        <f t="shared" ref="Q8:Q20" si="0">M8/L8</f>
        <v>#DIV/0!</v>
      </c>
      <c r="R8" s="163" t="e">
        <f t="shared" ref="R8:R20" si="1">M8/K8</f>
        <v>#DIV/0!</v>
      </c>
    </row>
    <row r="9" spans="1:18" ht="15.75" customHeight="1">
      <c r="A9" s="412" t="s">
        <v>216</v>
      </c>
      <c r="B9" s="412"/>
      <c r="C9" s="48" t="s">
        <v>139</v>
      </c>
      <c r="D9" s="33"/>
      <c r="E9" s="297"/>
      <c r="F9" s="33"/>
      <c r="G9" s="280"/>
      <c r="H9" s="280"/>
      <c r="I9" s="33"/>
      <c r="J9" s="33"/>
      <c r="K9" s="33"/>
      <c r="L9" s="33"/>
      <c r="M9" s="33"/>
      <c r="N9" s="33"/>
      <c r="O9" s="33"/>
      <c r="P9" s="33"/>
      <c r="Q9" s="163"/>
      <c r="R9" s="163"/>
    </row>
    <row r="10" spans="1:18" ht="15.75" customHeight="1">
      <c r="A10" s="412"/>
      <c r="B10" s="412"/>
      <c r="C10" s="48" t="s">
        <v>80</v>
      </c>
      <c r="D10" s="41"/>
      <c r="E10" s="296"/>
      <c r="F10" s="41"/>
      <c r="G10" s="279"/>
      <c r="H10" s="302"/>
      <c r="I10" s="41"/>
      <c r="J10" s="41"/>
      <c r="K10" s="302"/>
      <c r="L10" s="41"/>
      <c r="M10" s="41"/>
      <c r="N10" s="41"/>
      <c r="O10" s="41"/>
      <c r="P10" s="41"/>
      <c r="Q10" s="163" t="e">
        <f t="shared" si="0"/>
        <v>#DIV/0!</v>
      </c>
      <c r="R10" s="163" t="e">
        <f t="shared" si="1"/>
        <v>#DIV/0!</v>
      </c>
    </row>
    <row r="11" spans="1:18" ht="15.75" customHeight="1">
      <c r="A11" s="404" t="s">
        <v>140</v>
      </c>
      <c r="B11" s="404"/>
      <c r="C11" s="48" t="s">
        <v>141</v>
      </c>
      <c r="D11" s="33"/>
      <c r="E11" s="297"/>
      <c r="F11" s="33"/>
      <c r="G11" s="280"/>
      <c r="H11" s="299"/>
      <c r="I11" s="306"/>
      <c r="J11" s="291"/>
      <c r="K11" s="33"/>
      <c r="L11" s="33"/>
      <c r="M11" s="33"/>
      <c r="N11" s="33"/>
      <c r="O11" s="33"/>
      <c r="P11" s="33"/>
      <c r="Q11" s="163"/>
      <c r="R11" s="163"/>
    </row>
    <row r="12" spans="1:18" ht="15.75" customHeight="1">
      <c r="A12" s="404"/>
      <c r="B12" s="404"/>
      <c r="C12" s="48" t="s">
        <v>80</v>
      </c>
      <c r="D12" s="41"/>
      <c r="E12" s="296"/>
      <c r="F12" s="41"/>
      <c r="G12" s="279"/>
      <c r="H12" s="303"/>
      <c r="I12" s="296"/>
      <c r="J12" s="296"/>
      <c r="K12" s="336"/>
      <c r="L12" s="296"/>
      <c r="M12" s="296"/>
      <c r="N12" s="41"/>
      <c r="O12" s="41"/>
      <c r="P12" s="41"/>
      <c r="Q12" s="163" t="e">
        <f t="shared" si="0"/>
        <v>#DIV/0!</v>
      </c>
      <c r="R12" s="163" t="e">
        <f t="shared" si="1"/>
        <v>#DIV/0!</v>
      </c>
    </row>
    <row r="13" spans="1:18" ht="15.75" customHeight="1">
      <c r="A13" s="404" t="s">
        <v>142</v>
      </c>
      <c r="B13" s="404"/>
      <c r="C13" s="48" t="s">
        <v>143</v>
      </c>
      <c r="D13" s="33"/>
      <c r="E13" s="297"/>
      <c r="F13" s="33"/>
      <c r="G13" s="280"/>
      <c r="H13" s="280"/>
      <c r="I13" s="33"/>
      <c r="J13" s="33"/>
      <c r="K13" s="33"/>
      <c r="L13" s="33"/>
      <c r="M13" s="33"/>
      <c r="N13" s="33"/>
      <c r="O13" s="33"/>
      <c r="P13" s="33"/>
      <c r="Q13" s="163"/>
      <c r="R13" s="163"/>
    </row>
    <row r="14" spans="1:18" ht="15.75" customHeight="1">
      <c r="A14" s="404"/>
      <c r="B14" s="404"/>
      <c r="C14" s="48" t="s">
        <v>80</v>
      </c>
      <c r="D14" s="41"/>
      <c r="E14" s="296"/>
      <c r="F14" s="41"/>
      <c r="G14" s="279"/>
      <c r="H14" s="304"/>
      <c r="I14" s="41"/>
      <c r="J14" s="41"/>
      <c r="K14" s="304"/>
      <c r="L14" s="41"/>
      <c r="M14" s="41"/>
      <c r="N14" s="41"/>
      <c r="O14" s="41"/>
      <c r="P14" s="41"/>
      <c r="Q14" s="163" t="e">
        <f t="shared" si="0"/>
        <v>#DIV/0!</v>
      </c>
      <c r="R14" s="163" t="e">
        <f t="shared" si="1"/>
        <v>#DIV/0!</v>
      </c>
    </row>
    <row r="15" spans="1:18" ht="15.75" customHeight="1">
      <c r="A15" s="404" t="s">
        <v>144</v>
      </c>
      <c r="B15" s="404"/>
      <c r="C15" s="48" t="s">
        <v>143</v>
      </c>
      <c r="D15" s="33"/>
      <c r="E15" s="297"/>
      <c r="F15" s="33"/>
      <c r="G15" s="280"/>
      <c r="H15" s="280"/>
      <c r="I15" s="33"/>
      <c r="J15" s="33"/>
      <c r="K15" s="33"/>
      <c r="L15" s="33"/>
      <c r="M15" s="33"/>
      <c r="N15" s="33"/>
      <c r="O15" s="33"/>
      <c r="P15" s="33"/>
      <c r="Q15" s="163"/>
      <c r="R15" s="163"/>
    </row>
    <row r="16" spans="1:18" ht="15.75" customHeight="1">
      <c r="A16" s="404"/>
      <c r="B16" s="404"/>
      <c r="C16" s="48" t="s">
        <v>145</v>
      </c>
      <c r="D16" s="41"/>
      <c r="E16" s="296"/>
      <c r="F16" s="41"/>
      <c r="G16" s="279"/>
      <c r="H16" s="304"/>
      <c r="I16" s="41"/>
      <c r="J16" s="41"/>
      <c r="K16" s="304"/>
      <c r="L16" s="41"/>
      <c r="M16" s="41"/>
      <c r="N16" s="41"/>
      <c r="O16" s="41"/>
      <c r="P16" s="41"/>
      <c r="Q16" s="163" t="e">
        <f t="shared" si="0"/>
        <v>#DIV/0!</v>
      </c>
      <c r="R16" s="163" t="e">
        <f t="shared" si="1"/>
        <v>#DIV/0!</v>
      </c>
    </row>
    <row r="17" spans="1:18" ht="15.75" customHeight="1">
      <c r="A17" s="404" t="s">
        <v>146</v>
      </c>
      <c r="B17" s="404"/>
      <c r="C17" s="48" t="s">
        <v>143</v>
      </c>
      <c r="D17" s="33"/>
      <c r="E17" s="297"/>
      <c r="F17" s="33"/>
      <c r="G17" s="280"/>
      <c r="H17" s="280"/>
      <c r="I17" s="33"/>
      <c r="J17" s="33"/>
      <c r="K17" s="33"/>
      <c r="L17" s="33"/>
      <c r="M17" s="33"/>
      <c r="N17" s="33"/>
      <c r="O17" s="33"/>
      <c r="P17" s="33"/>
      <c r="Q17" s="163"/>
      <c r="R17" s="163"/>
    </row>
    <row r="18" spans="1:18" ht="15.75" customHeight="1">
      <c r="A18" s="404"/>
      <c r="B18" s="404"/>
      <c r="C18" s="48" t="s">
        <v>80</v>
      </c>
      <c r="D18" s="41"/>
      <c r="E18" s="296"/>
      <c r="F18" s="41"/>
      <c r="G18" s="279"/>
      <c r="H18" s="304"/>
      <c r="I18" s="41"/>
      <c r="J18" s="41"/>
      <c r="K18" s="304"/>
      <c r="L18" s="41"/>
      <c r="M18" s="41"/>
      <c r="N18" s="41"/>
      <c r="O18" s="41"/>
      <c r="P18" s="41"/>
      <c r="Q18" s="163" t="e">
        <f t="shared" si="0"/>
        <v>#DIV/0!</v>
      </c>
      <c r="R18" s="163" t="e">
        <f t="shared" si="1"/>
        <v>#DIV/0!</v>
      </c>
    </row>
    <row r="19" spans="1:18" ht="15.75" customHeight="1">
      <c r="A19" s="404" t="s">
        <v>147</v>
      </c>
      <c r="B19" s="404"/>
      <c r="C19" s="48" t="s">
        <v>143</v>
      </c>
      <c r="D19" s="33"/>
      <c r="E19" s="297"/>
      <c r="F19" s="33"/>
      <c r="G19" s="280"/>
      <c r="H19" s="280"/>
      <c r="I19" s="33"/>
      <c r="J19" s="33"/>
      <c r="K19" s="33"/>
      <c r="L19" s="33"/>
      <c r="M19" s="33"/>
      <c r="N19" s="33"/>
      <c r="O19" s="33"/>
      <c r="P19" s="33"/>
      <c r="Q19" s="163"/>
      <c r="R19" s="163"/>
    </row>
    <row r="20" spans="1:18" ht="15.75" customHeight="1">
      <c r="A20" s="405"/>
      <c r="B20" s="405"/>
      <c r="C20" s="292" t="s">
        <v>80</v>
      </c>
      <c r="D20" s="293"/>
      <c r="E20" s="298"/>
      <c r="F20" s="293"/>
      <c r="G20" s="294"/>
      <c r="H20" s="305"/>
      <c r="I20" s="307"/>
      <c r="J20" s="307"/>
      <c r="K20" s="337"/>
      <c r="L20" s="293"/>
      <c r="M20" s="293"/>
      <c r="N20" s="293"/>
      <c r="O20" s="293"/>
      <c r="P20" s="293"/>
      <c r="Q20" s="163" t="e">
        <f t="shared" si="0"/>
        <v>#DIV/0!</v>
      </c>
      <c r="R20" s="163" t="e">
        <f t="shared" si="1"/>
        <v>#DIV/0!</v>
      </c>
    </row>
    <row r="21" spans="1:18" ht="11.25" customHeight="1">
      <c r="A21" s="38"/>
      <c r="B21" s="38"/>
      <c r="C21" s="39"/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0"/>
      <c r="Q21" s="163"/>
      <c r="R21" s="164"/>
    </row>
    <row r="22" spans="1:18" ht="21">
      <c r="A22" s="32" t="s">
        <v>148</v>
      </c>
      <c r="B22" s="31"/>
      <c r="C22" s="31"/>
    </row>
    <row r="23" spans="1:18" ht="8.25" customHeight="1" thickBot="1"/>
    <row r="24" spans="1:18" ht="16.5" customHeight="1">
      <c r="A24" s="406" t="s">
        <v>149</v>
      </c>
      <c r="B24" s="407"/>
      <c r="C24" s="408"/>
      <c r="D24" s="390" t="s">
        <v>150</v>
      </c>
      <c r="E24" s="390"/>
      <c r="F24" s="390"/>
      <c r="G24" s="390"/>
      <c r="H24" s="390"/>
      <c r="I24" s="390"/>
      <c r="J24" s="390"/>
      <c r="K24" s="390"/>
      <c r="L24" s="390"/>
      <c r="M24" s="390"/>
      <c r="N24" s="390"/>
      <c r="O24" s="390"/>
      <c r="P24" s="391"/>
    </row>
    <row r="25" spans="1:18" ht="17.25" customHeight="1" thickBot="1">
      <c r="A25" s="409"/>
      <c r="B25" s="410"/>
      <c r="C25" s="411"/>
      <c r="D25" s="19" t="s">
        <v>151</v>
      </c>
      <c r="E25" s="19" t="s">
        <v>46</v>
      </c>
      <c r="F25" s="19" t="s">
        <v>47</v>
      </c>
      <c r="G25" s="19" t="s">
        <v>48</v>
      </c>
      <c r="H25" s="19" t="s">
        <v>49</v>
      </c>
      <c r="I25" s="19" t="s">
        <v>50</v>
      </c>
      <c r="J25" s="19" t="s">
        <v>51</v>
      </c>
      <c r="K25" s="19" t="s">
        <v>52</v>
      </c>
      <c r="L25" s="19" t="s">
        <v>53</v>
      </c>
      <c r="M25" s="19" t="s">
        <v>54</v>
      </c>
      <c r="N25" s="19" t="s">
        <v>55</v>
      </c>
      <c r="O25" s="19" t="s">
        <v>152</v>
      </c>
      <c r="P25" s="20" t="s">
        <v>153</v>
      </c>
    </row>
    <row r="26" spans="1:18" ht="21" customHeight="1" thickTop="1">
      <c r="A26" s="392" t="s">
        <v>154</v>
      </c>
      <c r="B26" s="396" t="s">
        <v>203</v>
      </c>
      <c r="C26" s="95" t="s">
        <v>155</v>
      </c>
      <c r="D26" s="311"/>
      <c r="E26" s="311"/>
      <c r="F26" s="312"/>
      <c r="G26" s="311"/>
      <c r="H26" s="311"/>
      <c r="I26" s="311"/>
      <c r="J26" s="311"/>
      <c r="K26" s="311"/>
      <c r="L26" s="311"/>
      <c r="M26" s="311"/>
      <c r="N26" s="311"/>
      <c r="O26" s="311"/>
      <c r="P26" s="213">
        <f>SUM(D26:O26)</f>
        <v>0</v>
      </c>
      <c r="Q26" s="202">
        <f>P26/12</f>
        <v>0</v>
      </c>
    </row>
    <row r="27" spans="1:18" ht="21" customHeight="1">
      <c r="A27" s="393"/>
      <c r="B27" s="397"/>
      <c r="C27" s="96" t="s">
        <v>156</v>
      </c>
      <c r="D27" s="15"/>
      <c r="E27" s="15"/>
      <c r="F27" s="276"/>
      <c r="G27" s="15"/>
      <c r="H27" s="15"/>
      <c r="I27" s="15"/>
      <c r="J27" s="15"/>
      <c r="K27" s="15"/>
      <c r="L27" s="15"/>
      <c r="M27" s="15"/>
      <c r="N27" s="15"/>
      <c r="O27" s="15"/>
      <c r="P27" s="16">
        <f t="shared" ref="P27:P29" si="2">SUM(D27:O27)</f>
        <v>0</v>
      </c>
      <c r="Q27" s="202">
        <f t="shared" ref="Q27:Q28" si="3">P27/12</f>
        <v>0</v>
      </c>
    </row>
    <row r="28" spans="1:18" ht="21" customHeight="1">
      <c r="A28" s="393"/>
      <c r="B28" s="397"/>
      <c r="C28" s="97" t="s">
        <v>157</v>
      </c>
      <c r="D28" s="42"/>
      <c r="E28" s="42"/>
      <c r="F28" s="277"/>
      <c r="G28" s="277"/>
      <c r="H28" s="277"/>
      <c r="I28" s="277"/>
      <c r="J28" s="277"/>
      <c r="K28" s="42"/>
      <c r="L28" s="42"/>
      <c r="M28" s="42"/>
      <c r="N28" s="42"/>
      <c r="O28" s="42"/>
      <c r="P28" s="16">
        <f t="shared" si="2"/>
        <v>0</v>
      </c>
      <c r="Q28" s="202">
        <f t="shared" si="3"/>
        <v>0</v>
      </c>
    </row>
    <row r="29" spans="1:18" ht="21" customHeight="1" thickBot="1">
      <c r="A29" s="393"/>
      <c r="B29" s="397"/>
      <c r="C29" s="98" t="s">
        <v>158</v>
      </c>
      <c r="D29" s="21"/>
      <c r="E29" s="21"/>
      <c r="F29" s="278"/>
      <c r="G29" s="21"/>
      <c r="H29" s="21"/>
      <c r="I29" s="21"/>
      <c r="J29" s="21"/>
      <c r="K29" s="21"/>
      <c r="L29" s="21"/>
      <c r="M29" s="21"/>
      <c r="N29" s="21"/>
      <c r="O29" s="21"/>
      <c r="P29" s="313">
        <f t="shared" si="2"/>
        <v>0</v>
      </c>
      <c r="Q29" s="202">
        <f>P29/12</f>
        <v>0</v>
      </c>
    </row>
    <row r="30" spans="1:18" ht="21" customHeight="1">
      <c r="A30" s="393"/>
      <c r="B30" s="398" t="s">
        <v>211</v>
      </c>
      <c r="C30" s="99" t="s">
        <v>62</v>
      </c>
      <c r="D30" s="311"/>
      <c r="E30" s="311"/>
      <c r="F30" s="312"/>
      <c r="G30" s="311"/>
      <c r="H30" s="311"/>
      <c r="I30" s="311"/>
      <c r="J30" s="311"/>
      <c r="K30" s="311"/>
      <c r="L30" s="311"/>
      <c r="M30" s="311"/>
      <c r="N30" s="311"/>
      <c r="O30" s="311"/>
      <c r="P30" s="213">
        <f>SUM(D30:O30)</f>
        <v>0</v>
      </c>
      <c r="Q30" s="202">
        <f t="shared" ref="Q30:Q33" si="4">P30/12</f>
        <v>0</v>
      </c>
    </row>
    <row r="31" spans="1:18" ht="21" customHeight="1">
      <c r="A31" s="393"/>
      <c r="B31" s="399"/>
      <c r="C31" s="96" t="s">
        <v>63</v>
      </c>
      <c r="D31" s="15"/>
      <c r="E31" s="15"/>
      <c r="F31" s="276"/>
      <c r="G31" s="15"/>
      <c r="H31" s="15"/>
      <c r="I31" s="15"/>
      <c r="J31" s="15"/>
      <c r="K31" s="15"/>
      <c r="L31" s="15"/>
      <c r="M31" s="15"/>
      <c r="N31" s="15"/>
      <c r="O31" s="15"/>
      <c r="P31" s="16">
        <f>SUM(D31:O31)</f>
        <v>0</v>
      </c>
      <c r="Q31" s="202">
        <f t="shared" si="4"/>
        <v>0</v>
      </c>
    </row>
    <row r="32" spans="1:18" ht="21" customHeight="1">
      <c r="A32" s="394"/>
      <c r="B32" s="400"/>
      <c r="C32" s="97" t="s">
        <v>157</v>
      </c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16">
        <f t="shared" ref="P32:P33" si="5">SUM(D32:O32)</f>
        <v>0</v>
      </c>
      <c r="Q32" s="202">
        <f t="shared" si="4"/>
        <v>0</v>
      </c>
    </row>
    <row r="33" spans="1:17" ht="21" customHeight="1" thickBot="1">
      <c r="A33" s="395"/>
      <c r="B33" s="401"/>
      <c r="C33" s="100" t="s">
        <v>61</v>
      </c>
      <c r="D33" s="21"/>
      <c r="E33" s="21"/>
      <c r="F33" s="278"/>
      <c r="G33" s="21"/>
      <c r="H33" s="21"/>
      <c r="I33" s="21"/>
      <c r="J33" s="21"/>
      <c r="K33" s="21"/>
      <c r="L33" s="21"/>
      <c r="M33" s="21"/>
      <c r="N33" s="21"/>
      <c r="O33" s="21"/>
      <c r="P33" s="16">
        <f t="shared" si="5"/>
        <v>0</v>
      </c>
      <c r="Q33" s="202">
        <f t="shared" si="4"/>
        <v>0</v>
      </c>
    </row>
    <row r="35" spans="1:17" s="135" customFormat="1" ht="16.5" customHeight="1">
      <c r="B35" s="402" t="s">
        <v>159</v>
      </c>
      <c r="C35" s="402"/>
      <c r="D35" s="136">
        <v>133</v>
      </c>
      <c r="E35" s="136">
        <v>140</v>
      </c>
      <c r="F35" s="136">
        <v>140</v>
      </c>
      <c r="G35" s="136">
        <v>140</v>
      </c>
      <c r="H35" s="136">
        <v>140</v>
      </c>
      <c r="I35" s="136">
        <v>140</v>
      </c>
      <c r="J35" s="136">
        <v>140</v>
      </c>
      <c r="K35" s="136">
        <v>140</v>
      </c>
      <c r="L35" s="136">
        <v>140</v>
      </c>
      <c r="M35" s="136">
        <v>140</v>
      </c>
      <c r="N35" s="136">
        <v>140</v>
      </c>
      <c r="O35" s="136">
        <v>140</v>
      </c>
    </row>
    <row r="36" spans="1:17" s="135" customFormat="1" ht="15.75" customHeight="1">
      <c r="B36" s="403">
        <v>7170</v>
      </c>
      <c r="C36" s="403"/>
      <c r="D36" s="137">
        <f>$B36*D35</f>
        <v>953610</v>
      </c>
      <c r="E36" s="137">
        <f t="shared" ref="E36:O36" si="6">$B36*E35</f>
        <v>1003800</v>
      </c>
      <c r="F36" s="137">
        <f t="shared" si="6"/>
        <v>1003800</v>
      </c>
      <c r="G36" s="137">
        <f t="shared" si="6"/>
        <v>1003800</v>
      </c>
      <c r="H36" s="137">
        <f t="shared" si="6"/>
        <v>1003800</v>
      </c>
      <c r="I36" s="137">
        <f t="shared" si="6"/>
        <v>1003800</v>
      </c>
      <c r="J36" s="137">
        <f t="shared" si="6"/>
        <v>1003800</v>
      </c>
      <c r="K36" s="137">
        <f t="shared" si="6"/>
        <v>1003800</v>
      </c>
      <c r="L36" s="137">
        <f t="shared" si="6"/>
        <v>1003800</v>
      </c>
      <c r="M36" s="137">
        <f t="shared" si="6"/>
        <v>1003800</v>
      </c>
      <c r="N36" s="137">
        <f t="shared" si="6"/>
        <v>1003800</v>
      </c>
      <c r="O36" s="137">
        <f t="shared" si="6"/>
        <v>1003800</v>
      </c>
    </row>
  </sheetData>
  <mergeCells count="18">
    <mergeCell ref="A9:B10"/>
    <mergeCell ref="N2:P2"/>
    <mergeCell ref="A3:C4"/>
    <mergeCell ref="D3:P3"/>
    <mergeCell ref="A5:B6"/>
    <mergeCell ref="A7:B8"/>
    <mergeCell ref="B36:C36"/>
    <mergeCell ref="A11:B12"/>
    <mergeCell ref="A13:B14"/>
    <mergeCell ref="A15:B16"/>
    <mergeCell ref="A17:B18"/>
    <mergeCell ref="A19:B20"/>
    <mergeCell ref="A24:C25"/>
    <mergeCell ref="D24:P24"/>
    <mergeCell ref="A26:A33"/>
    <mergeCell ref="B26:B29"/>
    <mergeCell ref="B30:B33"/>
    <mergeCell ref="B35:C35"/>
  </mergeCells>
  <phoneticPr fontId="2" type="noConversion"/>
  <pageMargins left="0.7" right="0.7" top="0.75" bottom="0.75" header="0.3" footer="0.3"/>
  <pageSetup paperSize="9" scale="86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rgb="FF002060"/>
    <pageSetUpPr fitToPage="1"/>
  </sheetPr>
  <dimension ref="A1:X69"/>
  <sheetViews>
    <sheetView showGridLines="0" zoomScale="141" zoomScaleNormal="141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N48" sqref="N48"/>
    </sheetView>
  </sheetViews>
  <sheetFormatPr defaultColWidth="5.19921875" defaultRowHeight="17.399999999999999"/>
  <cols>
    <col min="1" max="1" width="3.69921875" customWidth="1"/>
    <col min="2" max="2" width="7.8984375" customWidth="1"/>
    <col min="3" max="7" width="3.3984375" style="24" customWidth="1"/>
    <col min="8" max="8" width="4.3984375" style="24" customWidth="1"/>
    <col min="9" max="9" width="3.3984375" style="24" customWidth="1"/>
    <col min="10" max="10" width="12.69921875" style="24" bestFit="1" customWidth="1"/>
    <col min="11" max="11" width="2" style="24" customWidth="1"/>
    <col min="12" max="12" width="10.3984375" style="24" customWidth="1"/>
    <col min="13" max="16" width="4.59765625" style="24" customWidth="1"/>
    <col min="17" max="17" width="6.19921875" style="24" customWidth="1"/>
    <col min="18" max="18" width="4.09765625" style="24" customWidth="1"/>
    <col min="19" max="19" width="4.5" style="255" customWidth="1"/>
    <col min="20" max="20" width="3.69921875" style="24" customWidth="1"/>
  </cols>
  <sheetData>
    <row r="1" spans="1:23" ht="25.5" customHeight="1">
      <c r="A1" s="441" t="s">
        <v>222</v>
      </c>
      <c r="B1" s="441"/>
      <c r="C1" s="441"/>
      <c r="D1" s="441"/>
      <c r="E1" s="441"/>
      <c r="F1" s="441"/>
      <c r="G1" s="441"/>
      <c r="H1" s="441"/>
      <c r="I1" s="441"/>
      <c r="J1" s="441"/>
      <c r="K1" s="441"/>
      <c r="L1" s="441"/>
      <c r="M1" s="441"/>
      <c r="N1" s="441"/>
      <c r="O1" s="441"/>
      <c r="P1" s="441"/>
      <c r="Q1" s="441"/>
      <c r="R1" s="441"/>
      <c r="S1" s="441"/>
      <c r="T1" s="441"/>
    </row>
    <row r="2" spans="1:23" ht="22.5" customHeight="1" thickBot="1">
      <c r="A2" s="452" t="s">
        <v>79</v>
      </c>
      <c r="B2" s="452"/>
      <c r="C2" s="452"/>
      <c r="D2" s="452"/>
      <c r="E2" s="254"/>
      <c r="F2" s="254"/>
      <c r="G2" s="254"/>
      <c r="R2" s="244" t="s">
        <v>223</v>
      </c>
      <c r="T2" s="244" t="s">
        <v>201</v>
      </c>
    </row>
    <row r="3" spans="1:23" ht="18.75" customHeight="1">
      <c r="A3" s="442" t="s">
        <v>38</v>
      </c>
      <c r="B3" s="443"/>
      <c r="C3" s="450" t="s">
        <v>25</v>
      </c>
      <c r="D3" s="450"/>
      <c r="E3" s="450"/>
      <c r="F3" s="450"/>
      <c r="G3" s="450"/>
      <c r="H3" s="450"/>
      <c r="I3" s="451"/>
      <c r="J3" s="453" t="s">
        <v>78</v>
      </c>
      <c r="K3" s="256"/>
      <c r="L3" s="446" t="s">
        <v>38</v>
      </c>
      <c r="M3" s="450" t="s">
        <v>28</v>
      </c>
      <c r="N3" s="450"/>
      <c r="O3" s="450"/>
      <c r="P3" s="450"/>
      <c r="Q3" s="450"/>
      <c r="R3" s="450"/>
      <c r="S3" s="450"/>
      <c r="T3" s="448" t="s">
        <v>78</v>
      </c>
    </row>
    <row r="4" spans="1:23" s="1" customFormat="1" ht="18.75" customHeight="1" thickBot="1">
      <c r="A4" s="444"/>
      <c r="B4" s="445"/>
      <c r="C4" s="248" t="s">
        <v>57</v>
      </c>
      <c r="D4" s="248" t="s">
        <v>58</v>
      </c>
      <c r="E4" s="248" t="s">
        <v>59</v>
      </c>
      <c r="F4" s="248" t="s">
        <v>60</v>
      </c>
      <c r="G4" s="248" t="s">
        <v>89</v>
      </c>
      <c r="H4" s="249" t="s">
        <v>56</v>
      </c>
      <c r="I4" s="248" t="s">
        <v>77</v>
      </c>
      <c r="J4" s="454"/>
      <c r="K4" s="256"/>
      <c r="L4" s="447"/>
      <c r="M4" s="246" t="s">
        <v>57</v>
      </c>
      <c r="N4" s="246" t="s">
        <v>58</v>
      </c>
      <c r="O4" s="246" t="s">
        <v>59</v>
      </c>
      <c r="P4" s="246" t="s">
        <v>60</v>
      </c>
      <c r="Q4" s="247" t="s">
        <v>89</v>
      </c>
      <c r="R4" s="257" t="s">
        <v>56</v>
      </c>
      <c r="S4" s="258" t="s">
        <v>77</v>
      </c>
      <c r="T4" s="449"/>
    </row>
    <row r="5" spans="1:23" s="1" customFormat="1" ht="18.75" customHeight="1" thickTop="1">
      <c r="A5" s="440" t="s">
        <v>33</v>
      </c>
      <c r="B5" s="71" t="s">
        <v>30</v>
      </c>
      <c r="C5" s="71"/>
      <c r="D5" s="71"/>
      <c r="E5" s="71"/>
      <c r="F5" s="71"/>
      <c r="G5" s="77"/>
      <c r="H5" s="332">
        <f>SUM(C5:G5)</f>
        <v>0</v>
      </c>
      <c r="I5" s="207">
        <f>[3]종합!$B$6/12/1000</f>
        <v>25000</v>
      </c>
      <c r="J5" s="77">
        <f>H5-I5</f>
        <v>-25000</v>
      </c>
      <c r="K5" s="82"/>
      <c r="L5" s="91" t="s">
        <v>29</v>
      </c>
      <c r="M5" s="242"/>
      <c r="N5" s="240"/>
      <c r="O5" s="71"/>
      <c r="P5" s="71"/>
      <c r="Q5" s="77"/>
      <c r="R5" s="109">
        <f>SUM(M5:Q5)</f>
        <v>0</v>
      </c>
      <c r="S5" s="146">
        <f>VLOOKUP(L5,[3]종합!$D:$F,2,0)/1000/12</f>
        <v>5500</v>
      </c>
      <c r="T5" s="259">
        <f>S5-R5</f>
        <v>5500</v>
      </c>
    </row>
    <row r="6" spans="1:23" ht="18.75" customHeight="1">
      <c r="A6" s="426"/>
      <c r="B6" s="5" t="s">
        <v>19</v>
      </c>
      <c r="C6" s="5"/>
      <c r="D6" s="5"/>
      <c r="E6" s="5"/>
      <c r="F6" s="5"/>
      <c r="G6" s="78"/>
      <c r="H6" s="332">
        <f t="shared" ref="H6:H13" si="0">SUM(C6:G6)</f>
        <v>0</v>
      </c>
      <c r="I6" s="207">
        <f>[3]종합!$B$9/12/1000</f>
        <v>2056.666666666667</v>
      </c>
      <c r="J6" s="77">
        <f t="shared" ref="J6:J10" si="1">H6-I6</f>
        <v>-2056.666666666667</v>
      </c>
      <c r="K6" s="82"/>
      <c r="L6" s="5" t="s">
        <v>212</v>
      </c>
      <c r="M6" s="243"/>
      <c r="N6" s="243"/>
      <c r="O6" s="166"/>
      <c r="P6" s="5"/>
      <c r="Q6" s="189"/>
      <c r="R6" s="159">
        <f>SUM(M6:Q6)</f>
        <v>0</v>
      </c>
      <c r="S6" s="146">
        <v>2800</v>
      </c>
      <c r="T6" s="260">
        <f t="shared" ref="T6:T16" si="2">S6-R6</f>
        <v>2800</v>
      </c>
    </row>
    <row r="7" spans="1:23" ht="18.75" customHeight="1">
      <c r="A7" s="426"/>
      <c r="B7" s="5" t="s">
        <v>20</v>
      </c>
      <c r="C7" s="5"/>
      <c r="D7" s="5"/>
      <c r="E7" s="5"/>
      <c r="F7" s="5"/>
      <c r="G7" s="78"/>
      <c r="H7" s="332">
        <f t="shared" si="0"/>
        <v>0</v>
      </c>
      <c r="I7" s="207">
        <f>[3]종합!$B$10/12/1000</f>
        <v>887.5</v>
      </c>
      <c r="J7" s="77">
        <f t="shared" si="1"/>
        <v>-887.5</v>
      </c>
      <c r="K7" s="82"/>
      <c r="L7" s="92" t="s">
        <v>1</v>
      </c>
      <c r="M7" s="243"/>
      <c r="N7" s="243"/>
      <c r="O7" s="5"/>
      <c r="P7" s="5"/>
      <c r="Q7" s="189"/>
      <c r="R7" s="159">
        <f t="shared" ref="R7:R18" si="3">SUM(M7:Q7)</f>
        <v>0</v>
      </c>
      <c r="S7" s="146">
        <f>VLOOKUP(L7,[3]종합!$D:$F,2,0)/1000/12</f>
        <v>525.48</v>
      </c>
      <c r="T7" s="260">
        <f t="shared" si="2"/>
        <v>525.48</v>
      </c>
    </row>
    <row r="8" spans="1:23" ht="18.75" customHeight="1">
      <c r="A8" s="426"/>
      <c r="B8" s="5" t="s">
        <v>21</v>
      </c>
      <c r="C8" s="5"/>
      <c r="D8" s="5"/>
      <c r="E8" s="5"/>
      <c r="F8" s="5"/>
      <c r="G8" s="78"/>
      <c r="H8" s="332">
        <f t="shared" si="0"/>
        <v>0</v>
      </c>
      <c r="I8" s="207">
        <f>[3]종합!$B$11/12/1000</f>
        <v>735.83333333333337</v>
      </c>
      <c r="J8" s="77">
        <f>H8-I8</f>
        <v>-735.83333333333337</v>
      </c>
      <c r="K8" s="82"/>
      <c r="L8" s="92" t="s">
        <v>2</v>
      </c>
      <c r="M8" s="243"/>
      <c r="N8" s="243"/>
      <c r="O8" s="5"/>
      <c r="P8" s="5"/>
      <c r="Q8" s="189"/>
      <c r="R8" s="159">
        <f t="shared" si="3"/>
        <v>0</v>
      </c>
      <c r="S8" s="146">
        <f>VLOOKUP(L8,[3]종합!$D:$F,2,0)/1000/12</f>
        <v>830.83333333333337</v>
      </c>
      <c r="T8" s="260">
        <f t="shared" si="2"/>
        <v>830.83333333333337</v>
      </c>
    </row>
    <row r="9" spans="1:23" ht="18.75" customHeight="1">
      <c r="A9" s="426"/>
      <c r="B9" s="5" t="s">
        <v>212</v>
      </c>
      <c r="C9" s="5"/>
      <c r="D9" s="5"/>
      <c r="E9" s="5"/>
      <c r="F9" s="5"/>
      <c r="G9" s="78"/>
      <c r="H9" s="332">
        <f t="shared" si="0"/>
        <v>0</v>
      </c>
      <c r="I9" s="207">
        <f>[3]종합!$B$7/12/1000</f>
        <v>1346.6666666666667</v>
      </c>
      <c r="J9" s="77">
        <f t="shared" si="1"/>
        <v>-1346.6666666666667</v>
      </c>
      <c r="K9" s="82"/>
      <c r="L9" s="92" t="s">
        <v>81</v>
      </c>
      <c r="M9" s="243"/>
      <c r="N9" s="241"/>
      <c r="O9" s="5"/>
      <c r="P9" s="166"/>
      <c r="Q9" s="189"/>
      <c r="R9" s="159">
        <f t="shared" si="3"/>
        <v>0</v>
      </c>
      <c r="S9" s="146">
        <f>VLOOKUP(L9,[3]종합!$D:$F,2,0)/1000/12</f>
        <v>200</v>
      </c>
      <c r="T9" s="260">
        <f t="shared" si="2"/>
        <v>200</v>
      </c>
    </row>
    <row r="10" spans="1:23" ht="18.75" customHeight="1">
      <c r="A10" s="426"/>
      <c r="B10" s="5" t="s">
        <v>22</v>
      </c>
      <c r="C10" s="5"/>
      <c r="D10" s="5"/>
      <c r="E10" s="5"/>
      <c r="F10" s="5"/>
      <c r="G10" s="78"/>
      <c r="H10" s="332">
        <f t="shared" si="0"/>
        <v>0</v>
      </c>
      <c r="I10" s="207">
        <f>[3]종합!$B$12/12/1000</f>
        <v>1250</v>
      </c>
      <c r="J10" s="77">
        <f t="shared" si="1"/>
        <v>-1250</v>
      </c>
      <c r="K10" s="82"/>
      <c r="L10" s="92" t="s">
        <v>14</v>
      </c>
      <c r="M10" s="243"/>
      <c r="N10" s="243"/>
      <c r="O10" s="5"/>
      <c r="P10" s="5"/>
      <c r="Q10" s="189"/>
      <c r="R10" s="323">
        <f t="shared" si="3"/>
        <v>0</v>
      </c>
      <c r="S10" s="146">
        <f>VLOOKUP(L10,[3]종합!$D:$F,2,0)/1000/12</f>
        <v>2212.4166666666665</v>
      </c>
      <c r="T10" s="260">
        <f t="shared" si="2"/>
        <v>2212.4166666666665</v>
      </c>
    </row>
    <row r="11" spans="1:23" ht="18.75" customHeight="1">
      <c r="A11" s="426"/>
      <c r="B11" s="5" t="s">
        <v>23</v>
      </c>
      <c r="C11" s="5"/>
      <c r="D11" s="5"/>
      <c r="E11" s="5"/>
      <c r="F11" s="5"/>
      <c r="G11" s="78"/>
      <c r="H11" s="332">
        <f t="shared" si="0"/>
        <v>0</v>
      </c>
      <c r="I11" s="207"/>
      <c r="J11" s="78"/>
      <c r="K11" s="82"/>
      <c r="L11" s="92" t="s">
        <v>15</v>
      </c>
      <c r="M11" s="243"/>
      <c r="N11" s="243"/>
      <c r="O11" s="5"/>
      <c r="P11" s="166"/>
      <c r="Q11" s="189"/>
      <c r="R11" s="323">
        <f t="shared" si="3"/>
        <v>0</v>
      </c>
      <c r="S11" s="146">
        <f>VLOOKUP(L11,[3]종합!$D:$F,2,0)/1000/12</f>
        <v>6609.166666666667</v>
      </c>
      <c r="T11" s="260">
        <f t="shared" si="2"/>
        <v>6609.166666666667</v>
      </c>
    </row>
    <row r="12" spans="1:23" ht="18.75" customHeight="1">
      <c r="A12" s="426"/>
      <c r="B12" s="5" t="s">
        <v>12</v>
      </c>
      <c r="C12" s="5"/>
      <c r="D12" s="5"/>
      <c r="E12" s="5"/>
      <c r="F12" s="5"/>
      <c r="G12" s="78"/>
      <c r="H12" s="332">
        <f t="shared" si="0"/>
        <v>0</v>
      </c>
      <c r="I12" s="207"/>
      <c r="J12" s="78">
        <f>H12-I12</f>
        <v>0</v>
      </c>
      <c r="K12" s="82"/>
      <c r="L12" s="92" t="s">
        <v>18</v>
      </c>
      <c r="M12" s="243"/>
      <c r="N12" s="243"/>
      <c r="O12" s="166"/>
      <c r="P12" s="166"/>
      <c r="Q12" s="189"/>
      <c r="R12" s="322">
        <f t="shared" si="3"/>
        <v>0</v>
      </c>
      <c r="S12" s="146">
        <f>VLOOKUP(L12,[3]종합!$D:$F,2,0)/1000/12</f>
        <v>531.41666666666663</v>
      </c>
      <c r="T12" s="260">
        <f t="shared" si="2"/>
        <v>531.41666666666663</v>
      </c>
    </row>
    <row r="13" spans="1:23" ht="18.75" customHeight="1" thickBot="1">
      <c r="A13" s="426"/>
      <c r="B13" s="5" t="s">
        <v>24</v>
      </c>
      <c r="C13" s="6"/>
      <c r="D13" s="6"/>
      <c r="E13" s="6"/>
      <c r="F13" s="6"/>
      <c r="G13" s="108"/>
      <c r="H13" s="340">
        <f t="shared" si="0"/>
        <v>0</v>
      </c>
      <c r="I13" s="341"/>
      <c r="J13" s="108">
        <f t="shared" ref="J13" si="4">H13-I13</f>
        <v>0</v>
      </c>
      <c r="K13" s="82"/>
      <c r="L13" s="92" t="s">
        <v>3</v>
      </c>
      <c r="M13" s="243"/>
      <c r="N13" s="243"/>
      <c r="O13" s="166"/>
      <c r="P13" s="166"/>
      <c r="Q13" s="189"/>
      <c r="R13" s="323">
        <f t="shared" si="3"/>
        <v>0</v>
      </c>
      <c r="S13" s="146">
        <f>VLOOKUP(L13,[3]종합!$D:$F,2,0)/1000/12</f>
        <v>1368.4166666666667</v>
      </c>
      <c r="T13" s="260">
        <f t="shared" si="2"/>
        <v>1368.4166666666667</v>
      </c>
    </row>
    <row r="14" spans="1:23" ht="18.75" customHeight="1">
      <c r="A14" s="426"/>
      <c r="B14" s="8"/>
      <c r="C14" s="349"/>
      <c r="D14" s="350"/>
      <c r="E14" s="350"/>
      <c r="F14" s="350"/>
      <c r="G14" s="350"/>
      <c r="H14" s="351"/>
      <c r="I14" s="352"/>
      <c r="J14" s="359"/>
      <c r="K14" s="339"/>
      <c r="L14" s="92" t="s">
        <v>5</v>
      </c>
      <c r="M14" s="243"/>
      <c r="N14" s="243"/>
      <c r="O14" s="166"/>
      <c r="P14" s="166"/>
      <c r="Q14" s="189"/>
      <c r="R14" s="323">
        <f t="shared" si="3"/>
        <v>0</v>
      </c>
      <c r="S14" s="146">
        <f>VLOOKUP(L14,[3]종합!$D:$F,2,0)/1000/12</f>
        <v>5458.6141666666672</v>
      </c>
      <c r="T14" s="260">
        <f t="shared" si="2"/>
        <v>5458.6141666666672</v>
      </c>
    </row>
    <row r="15" spans="1:23" ht="18.75" customHeight="1">
      <c r="A15" s="426"/>
      <c r="B15" s="8"/>
      <c r="C15" s="8"/>
      <c r="D15" s="23"/>
      <c r="E15" s="23"/>
      <c r="F15" s="23"/>
      <c r="G15" s="23"/>
      <c r="H15" s="347"/>
      <c r="I15" s="35"/>
      <c r="J15" s="357"/>
      <c r="K15" s="339"/>
      <c r="L15" s="92" t="s">
        <v>7</v>
      </c>
      <c r="M15" s="243"/>
      <c r="N15" s="243"/>
      <c r="O15" s="166"/>
      <c r="P15" s="166"/>
      <c r="Q15" s="189"/>
      <c r="R15" s="159">
        <f t="shared" si="3"/>
        <v>0</v>
      </c>
      <c r="S15" s="146">
        <f>VLOOKUP(L15,[3]종합!$D:$F,2,0)/1000/12</f>
        <v>575</v>
      </c>
      <c r="T15" s="260">
        <f t="shared" si="2"/>
        <v>575</v>
      </c>
      <c r="W15" s="122"/>
    </row>
    <row r="16" spans="1:23" ht="18.75" customHeight="1">
      <c r="A16" s="426"/>
      <c r="B16" s="8"/>
      <c r="C16" s="8"/>
      <c r="D16" s="23"/>
      <c r="E16" s="23"/>
      <c r="F16" s="23"/>
      <c r="G16" s="23"/>
      <c r="H16" s="347"/>
      <c r="I16" s="35"/>
      <c r="J16" s="357"/>
      <c r="K16" s="339"/>
      <c r="L16" s="92" t="s">
        <v>6</v>
      </c>
      <c r="M16" s="243"/>
      <c r="N16" s="243"/>
      <c r="O16" s="166"/>
      <c r="P16" s="166"/>
      <c r="Q16" s="189"/>
      <c r="R16" s="159">
        <f t="shared" si="3"/>
        <v>0</v>
      </c>
      <c r="S16" s="146">
        <f>VLOOKUP(L16,[3]종합!$D:$F,2,0)/1000/12</f>
        <v>916.66666666666663</v>
      </c>
      <c r="T16" s="260">
        <f t="shared" si="2"/>
        <v>916.66666666666663</v>
      </c>
    </row>
    <row r="17" spans="1:24" ht="18.75" customHeight="1">
      <c r="A17" s="426"/>
      <c r="B17" s="49"/>
      <c r="C17" s="346"/>
      <c r="D17" s="25"/>
      <c r="E17" s="25"/>
      <c r="F17" s="23"/>
      <c r="G17" s="348"/>
      <c r="H17" s="347"/>
      <c r="I17" s="35"/>
      <c r="J17" s="357"/>
      <c r="K17" s="339"/>
      <c r="L17" s="92" t="s">
        <v>87</v>
      </c>
      <c r="M17" s="243"/>
      <c r="N17" s="243"/>
      <c r="O17" s="166"/>
      <c r="P17" s="166"/>
      <c r="Q17" s="189"/>
      <c r="R17" s="159">
        <f t="shared" si="3"/>
        <v>0</v>
      </c>
      <c r="S17" s="146">
        <f>24800/12</f>
        <v>2066.6666666666665</v>
      </c>
      <c r="T17" s="260">
        <f>S17-R17</f>
        <v>2066.6666666666665</v>
      </c>
    </row>
    <row r="18" spans="1:24" ht="18.75" customHeight="1" thickBot="1">
      <c r="A18" s="427"/>
      <c r="B18" s="49"/>
      <c r="C18" s="353"/>
      <c r="D18" s="354"/>
      <c r="E18" s="354"/>
      <c r="F18" s="354"/>
      <c r="G18" s="354"/>
      <c r="H18" s="355"/>
      <c r="I18" s="356"/>
      <c r="J18" s="358"/>
      <c r="K18" s="339"/>
      <c r="L18" s="93" t="s">
        <v>17</v>
      </c>
      <c r="M18" s="168"/>
      <c r="N18" s="168"/>
      <c r="O18" s="168"/>
      <c r="P18" s="168"/>
      <c r="Q18" s="190"/>
      <c r="R18" s="159">
        <f t="shared" si="3"/>
        <v>0</v>
      </c>
      <c r="S18" s="146"/>
      <c r="T18" s="260">
        <f>S18-R18</f>
        <v>0</v>
      </c>
    </row>
    <row r="19" spans="1:24" ht="18.75" customHeight="1" thickTop="1" thickBot="1">
      <c r="A19" s="432" t="s">
        <v>31</v>
      </c>
      <c r="B19" s="433"/>
      <c r="C19" s="342">
        <f>SUM(C5:C13)</f>
        <v>0</v>
      </c>
      <c r="D19" s="342">
        <f>SUM(D5:D13)</f>
        <v>0</v>
      </c>
      <c r="E19" s="342">
        <f>SUM(E5:E13)</f>
        <v>0</v>
      </c>
      <c r="F19" s="343">
        <f t="shared" ref="F19" si="5">SUM(F5:F13)</f>
        <v>0</v>
      </c>
      <c r="G19" s="343">
        <f>SUM(G5:G13)</f>
        <v>0</v>
      </c>
      <c r="H19" s="344">
        <f>SUM(H5:H13)</f>
        <v>0</v>
      </c>
      <c r="I19" s="345">
        <f>SUM(I5:I13)</f>
        <v>31276.666666666668</v>
      </c>
      <c r="J19" s="346">
        <f>H19-I19</f>
        <v>-31276.666666666668</v>
      </c>
      <c r="K19" s="69"/>
      <c r="L19" s="261" t="s">
        <v>32</v>
      </c>
      <c r="M19" s="321">
        <f t="shared" ref="M19:Q19" si="6">SUM(M5:M18)</f>
        <v>0</v>
      </c>
      <c r="N19" s="321">
        <f t="shared" si="6"/>
        <v>0</v>
      </c>
      <c r="O19" s="317">
        <f t="shared" si="6"/>
        <v>0</v>
      </c>
      <c r="P19" s="196">
        <f t="shared" si="6"/>
        <v>0</v>
      </c>
      <c r="Q19" s="251">
        <f t="shared" si="6"/>
        <v>0</v>
      </c>
      <c r="R19" s="333">
        <f>SUM(R5:R18)</f>
        <v>0</v>
      </c>
      <c r="S19" s="175">
        <f t="shared" ref="S19:T19" si="7">SUM(S5:S18)</f>
        <v>29594.677500000005</v>
      </c>
      <c r="T19" s="262">
        <f t="shared" si="7"/>
        <v>29594.677500000005</v>
      </c>
      <c r="V19" s="24"/>
      <c r="W19" s="24"/>
      <c r="X19" s="24"/>
    </row>
    <row r="20" spans="1:24" ht="18.75" customHeight="1" thickTop="1" thickBot="1">
      <c r="A20" s="430"/>
      <c r="B20" s="431"/>
      <c r="C20" s="139"/>
      <c r="D20" s="250"/>
      <c r="E20" s="250"/>
      <c r="F20" s="250"/>
      <c r="G20" s="140"/>
      <c r="H20" s="438" t="s">
        <v>97</v>
      </c>
      <c r="I20" s="439"/>
      <c r="J20" s="263">
        <v>62423.135999999999</v>
      </c>
      <c r="K20" s="69"/>
      <c r="L20" s="162" t="s">
        <v>98</v>
      </c>
      <c r="M20" s="318">
        <f>J20+C19-M19</f>
        <v>62423.135999999999</v>
      </c>
      <c r="N20" s="275">
        <f>M20+D19-N19</f>
        <v>62423.135999999999</v>
      </c>
      <c r="O20" s="275">
        <f>N20+E19-O19</f>
        <v>62423.135999999999</v>
      </c>
      <c r="P20" s="275">
        <f>O20+F19-P19</f>
        <v>62423.135999999999</v>
      </c>
      <c r="Q20" s="329">
        <f>P20+G19-Q19</f>
        <v>62423.135999999999</v>
      </c>
      <c r="R20" s="123"/>
      <c r="S20" s="123"/>
      <c r="T20" s="128"/>
      <c r="V20" s="120"/>
      <c r="W20" s="120"/>
    </row>
    <row r="21" spans="1:24" ht="18.75" customHeight="1" thickBot="1">
      <c r="A21" s="428" t="s">
        <v>13</v>
      </c>
      <c r="B21" s="429"/>
      <c r="C21" s="241"/>
      <c r="D21" s="241"/>
      <c r="E21" s="241"/>
      <c r="F21" s="5"/>
      <c r="G21" s="78"/>
      <c r="H21" s="176">
        <f>SUM(C21:G21)</f>
        <v>0</v>
      </c>
      <c r="I21" s="146">
        <f>[3]종합!$B$8/12/1000</f>
        <v>786.66666666666663</v>
      </c>
      <c r="J21" s="78">
        <f t="shared" ref="J21" si="8">H21-I21</f>
        <v>-786.66666666666663</v>
      </c>
      <c r="K21" s="82"/>
      <c r="L21" s="129" t="s">
        <v>45</v>
      </c>
      <c r="M21" s="197">
        <v>0</v>
      </c>
      <c r="N21" s="204">
        <v>0</v>
      </c>
      <c r="O21" s="204">
        <v>0</v>
      </c>
      <c r="P21" s="204">
        <v>0</v>
      </c>
      <c r="Q21" s="158">
        <v>0</v>
      </c>
      <c r="R21" s="264">
        <f>SUM(M21:Q21)</f>
        <v>0</v>
      </c>
      <c r="S21" s="265">
        <f>VLOOKUP(L21,[4]종합!$D:$F,2,0)/1000/12</f>
        <v>1031.6666666666667</v>
      </c>
      <c r="T21" s="158">
        <f t="shared" ref="T21" si="9">S21-R21</f>
        <v>1031.6666666666667</v>
      </c>
      <c r="V21" s="120"/>
      <c r="W21" s="120"/>
    </row>
    <row r="22" spans="1:24" ht="18.75" customHeight="1" thickTop="1" thickBot="1">
      <c r="A22" s="430"/>
      <c r="B22" s="431"/>
      <c r="C22" s="139"/>
      <c r="D22" s="250"/>
      <c r="E22" s="250"/>
      <c r="F22" s="250"/>
      <c r="G22" s="140"/>
      <c r="H22" s="438" t="s">
        <v>97</v>
      </c>
      <c r="I22" s="439"/>
      <c r="J22" s="263">
        <v>5632.16</v>
      </c>
      <c r="K22" s="69"/>
      <c r="L22" s="162" t="s">
        <v>98</v>
      </c>
      <c r="M22" s="212">
        <f>J22+C21-M21</f>
        <v>5632.16</v>
      </c>
      <c r="N22" s="318">
        <f t="shared" ref="N22:P22" si="10">M22+D21-N21</f>
        <v>5632.16</v>
      </c>
      <c r="O22" s="212">
        <f t="shared" si="10"/>
        <v>5632.16</v>
      </c>
      <c r="P22" s="212">
        <f t="shared" si="10"/>
        <v>5632.16</v>
      </c>
      <c r="Q22" s="330">
        <f>P22+G21-Q21</f>
        <v>5632.16</v>
      </c>
      <c r="R22" s="123"/>
      <c r="S22" s="123"/>
      <c r="T22" s="128"/>
      <c r="V22" s="120"/>
      <c r="W22" s="121"/>
    </row>
    <row r="23" spans="1:24" ht="18.75" customHeight="1" thickBot="1">
      <c r="A23" s="425" t="s">
        <v>44</v>
      </c>
      <c r="B23" s="4" t="s">
        <v>10</v>
      </c>
      <c r="C23" s="4"/>
      <c r="D23" s="4"/>
      <c r="E23" s="4"/>
      <c r="F23" s="4"/>
      <c r="G23" s="79"/>
      <c r="H23" s="177">
        <f>SUM(C23:G23)</f>
        <v>0</v>
      </c>
      <c r="I23" s="146">
        <f>57200/12</f>
        <v>4766.666666666667</v>
      </c>
      <c r="J23" s="79">
        <f t="shared" ref="J23:J26" si="11">H23-I23</f>
        <v>-4766.666666666667</v>
      </c>
      <c r="K23" s="82"/>
      <c r="L23" s="81" t="s">
        <v>4</v>
      </c>
      <c r="M23" s="165"/>
      <c r="N23" s="198"/>
      <c r="O23" s="165"/>
      <c r="P23" s="198"/>
      <c r="Q23" s="191"/>
      <c r="R23" s="81">
        <f>SUM(M23:Q23)</f>
        <v>0</v>
      </c>
      <c r="S23" s="266">
        <f>VLOOKUP(L23,[3]종합!$D:$F,2,0)/1000/12</f>
        <v>4766.666666666667</v>
      </c>
      <c r="T23" s="50"/>
      <c r="V23" s="120"/>
    </row>
    <row r="24" spans="1:24" ht="18.75" customHeight="1">
      <c r="A24" s="426"/>
      <c r="B24" s="5" t="s">
        <v>11</v>
      </c>
      <c r="C24" s="5"/>
      <c r="D24" s="5"/>
      <c r="E24" s="5"/>
      <c r="F24" s="5"/>
      <c r="G24" s="78"/>
      <c r="H24" s="176">
        <f>SUM(C24:G24)</f>
        <v>0</v>
      </c>
      <c r="I24" s="146">
        <v>0</v>
      </c>
      <c r="J24" s="56">
        <f t="shared" si="11"/>
        <v>0</v>
      </c>
      <c r="K24" s="68"/>
      <c r="L24" s="62" t="s">
        <v>8</v>
      </c>
      <c r="M24" s="166"/>
      <c r="N24" s="199"/>
      <c r="O24" s="166"/>
      <c r="P24" s="199"/>
      <c r="Q24" s="189"/>
      <c r="R24" s="81">
        <f>SUM(M24:Q24)</f>
        <v>0</v>
      </c>
      <c r="S24" s="146">
        <f>VLOOKUP(L24,[3]종합!$D:$F,2,0)/1000/12</f>
        <v>600</v>
      </c>
      <c r="T24" s="37">
        <f>S24-R24</f>
        <v>600</v>
      </c>
      <c r="V24" s="120"/>
    </row>
    <row r="25" spans="1:24" ht="18.75" customHeight="1">
      <c r="A25" s="426"/>
      <c r="B25" s="5" t="s">
        <v>217</v>
      </c>
      <c r="C25" s="5"/>
      <c r="D25" s="5"/>
      <c r="E25" s="5"/>
      <c r="F25" s="5"/>
      <c r="G25" s="78"/>
      <c r="H25" s="176">
        <f>SUM(C25:G25)</f>
        <v>0</v>
      </c>
      <c r="I25" s="146">
        <f>5000/12</f>
        <v>416.66666666666669</v>
      </c>
      <c r="J25" s="56">
        <f t="shared" si="11"/>
        <v>-416.66666666666669</v>
      </c>
      <c r="K25" s="68"/>
      <c r="L25" s="62" t="s">
        <v>207</v>
      </c>
      <c r="M25" s="166"/>
      <c r="N25" s="199"/>
      <c r="O25" s="166"/>
      <c r="P25" s="199"/>
      <c r="Q25" s="189"/>
      <c r="R25" s="159">
        <f t="shared" ref="R25:R27" si="12">SUM(M25:Q25)</f>
        <v>0</v>
      </c>
      <c r="S25" s="152"/>
      <c r="T25" s="37"/>
      <c r="V25" s="120"/>
    </row>
    <row r="26" spans="1:24" ht="18.75" customHeight="1">
      <c r="A26" s="426"/>
      <c r="B26" s="5" t="s">
        <v>12</v>
      </c>
      <c r="C26" s="5"/>
      <c r="D26" s="5"/>
      <c r="E26" s="5"/>
      <c r="F26" s="5"/>
      <c r="G26" s="78"/>
      <c r="H26" s="176">
        <f>SUM(C26:G26)</f>
        <v>0</v>
      </c>
      <c r="I26" s="146"/>
      <c r="J26" s="56">
        <f t="shared" si="11"/>
        <v>0</v>
      </c>
      <c r="K26" s="68"/>
      <c r="L26" s="62" t="s">
        <v>221</v>
      </c>
      <c r="M26" s="166"/>
      <c r="N26" s="199"/>
      <c r="O26" s="166"/>
      <c r="P26" s="199"/>
      <c r="Q26" s="189"/>
      <c r="R26" s="159">
        <f t="shared" si="12"/>
        <v>0</v>
      </c>
      <c r="S26" s="146"/>
      <c r="T26" s="37"/>
      <c r="V26" s="120"/>
    </row>
    <row r="27" spans="1:24" ht="18.75" customHeight="1" thickBot="1">
      <c r="A27" s="427"/>
      <c r="B27" s="6" t="s">
        <v>9</v>
      </c>
      <c r="C27" s="6"/>
      <c r="D27" s="6"/>
      <c r="E27" s="6"/>
      <c r="F27" s="6"/>
      <c r="G27" s="108"/>
      <c r="H27" s="176">
        <f>SUM(C27:G27)</f>
        <v>0</v>
      </c>
      <c r="I27" s="147"/>
      <c r="J27" s="57"/>
      <c r="K27" s="68"/>
      <c r="L27" s="267" t="s">
        <v>218</v>
      </c>
      <c r="M27" s="170"/>
      <c r="N27" s="205"/>
      <c r="O27" s="170"/>
      <c r="P27" s="205"/>
      <c r="Q27" s="192"/>
      <c r="R27" s="159">
        <f t="shared" si="12"/>
        <v>0</v>
      </c>
      <c r="S27" s="149"/>
      <c r="T27" s="45"/>
      <c r="V27" s="120"/>
    </row>
    <row r="28" spans="1:24" ht="18.75" customHeight="1" thickTop="1" thickBot="1">
      <c r="A28" s="432" t="s">
        <v>31</v>
      </c>
      <c r="B28" s="433"/>
      <c r="C28" s="11">
        <f>SUM(C23:C27)</f>
        <v>0</v>
      </c>
      <c r="D28" s="11">
        <f t="shared" ref="D28:G28" si="13">SUM(D23:D27)</f>
        <v>0</v>
      </c>
      <c r="E28" s="11">
        <f t="shared" si="13"/>
        <v>0</v>
      </c>
      <c r="F28" s="11">
        <f t="shared" si="13"/>
        <v>0</v>
      </c>
      <c r="G28" s="36">
        <f t="shared" si="13"/>
        <v>0</v>
      </c>
      <c r="H28" s="178">
        <f>SUM(H23:H27)</f>
        <v>0</v>
      </c>
      <c r="I28" s="148">
        <f>SUM(I23:I27)</f>
        <v>5183.3333333333339</v>
      </c>
      <c r="J28" s="36">
        <f>SUM(J23:J27)</f>
        <v>-5183.3333333333339</v>
      </c>
      <c r="K28" s="69"/>
      <c r="L28" s="268" t="s">
        <v>32</v>
      </c>
      <c r="M28" s="167">
        <f>SUM(M23:M27)</f>
        <v>0</v>
      </c>
      <c r="N28" s="206">
        <f>SUM(N23:N27)</f>
        <v>0</v>
      </c>
      <c r="O28" s="167">
        <f>SUM(O23:O27)</f>
        <v>0</v>
      </c>
      <c r="P28" s="206">
        <f t="shared" ref="P28:S28" si="14">SUM(P23:P27)</f>
        <v>0</v>
      </c>
      <c r="Q28" s="193">
        <f t="shared" si="14"/>
        <v>0</v>
      </c>
      <c r="R28" s="268">
        <f t="shared" si="14"/>
        <v>0</v>
      </c>
      <c r="S28" s="145">
        <f t="shared" si="14"/>
        <v>5366.666666666667</v>
      </c>
      <c r="T28" s="130">
        <f>SUM(T23:T27)</f>
        <v>600</v>
      </c>
      <c r="V28" s="120"/>
    </row>
    <row r="29" spans="1:24" ht="18.75" customHeight="1" thickTop="1" thickBot="1">
      <c r="A29" s="430"/>
      <c r="B29" s="431"/>
      <c r="C29" s="139"/>
      <c r="D29" s="250"/>
      <c r="E29" s="250"/>
      <c r="F29" s="250"/>
      <c r="G29" s="140"/>
      <c r="H29" s="438" t="s">
        <v>97</v>
      </c>
      <c r="I29" s="439"/>
      <c r="J29" s="284">
        <v>257676.19200000001</v>
      </c>
      <c r="K29" s="69"/>
      <c r="L29" s="161" t="s">
        <v>98</v>
      </c>
      <c r="M29" s="209">
        <f>J29+(C28)-M28</f>
        <v>257676.19200000001</v>
      </c>
      <c r="N29" s="274">
        <f>M29+D28-N28</f>
        <v>257676.19200000001</v>
      </c>
      <c r="O29" s="209">
        <f>N29+E28-O28</f>
        <v>257676.19200000001</v>
      </c>
      <c r="P29" s="209">
        <f>O29+F28-P28</f>
        <v>257676.19200000001</v>
      </c>
      <c r="Q29" s="328">
        <f>P29+G28-Q28</f>
        <v>257676.19200000001</v>
      </c>
      <c r="R29" s="118"/>
      <c r="S29" s="118"/>
      <c r="T29" s="119"/>
      <c r="V29" s="120"/>
      <c r="W29" s="121"/>
    </row>
    <row r="30" spans="1:24" ht="18.75" customHeight="1">
      <c r="A30" s="425" t="s">
        <v>37</v>
      </c>
      <c r="B30" s="4" t="s">
        <v>34</v>
      </c>
      <c r="C30" s="4"/>
      <c r="D30" s="4"/>
      <c r="E30" s="4"/>
      <c r="F30" s="4"/>
      <c r="G30" s="79"/>
      <c r="H30" s="177">
        <f>SUM(C30:G30)</f>
        <v>0</v>
      </c>
      <c r="I30" s="208">
        <f>3660/12</f>
        <v>305</v>
      </c>
      <c r="J30" s="79">
        <f t="shared" ref="J30:J32" si="15">H30-I30</f>
        <v>-305</v>
      </c>
      <c r="K30" s="82"/>
      <c r="L30" s="81" t="s">
        <v>35</v>
      </c>
      <c r="M30" s="165"/>
      <c r="N30" s="198"/>
      <c r="O30" s="165"/>
      <c r="P30" s="165"/>
      <c r="Q30" s="191"/>
      <c r="R30" s="81">
        <f>SUM(M30:Q30)</f>
        <v>0</v>
      </c>
      <c r="S30" s="266">
        <f>VLOOKUP(L30,[5]종합!$D:$F,2,0)/1000/12</f>
        <v>208.33333333333334</v>
      </c>
      <c r="T30" s="50">
        <f t="shared" ref="T30:T32" si="16">S30-R30</f>
        <v>208.33333333333334</v>
      </c>
    </row>
    <row r="31" spans="1:24" ht="18.75" customHeight="1">
      <c r="A31" s="426"/>
      <c r="B31" s="5" t="s">
        <v>91</v>
      </c>
      <c r="C31" s="5"/>
      <c r="D31" s="5"/>
      <c r="E31" s="5"/>
      <c r="F31" s="5"/>
      <c r="G31" s="78"/>
      <c r="H31" s="176">
        <f>SUM(C31:G31)</f>
        <v>0</v>
      </c>
      <c r="I31" s="146"/>
      <c r="J31" s="56">
        <f t="shared" si="15"/>
        <v>0</v>
      </c>
      <c r="K31" s="68"/>
      <c r="L31" s="92" t="s">
        <v>36</v>
      </c>
      <c r="M31" s="166"/>
      <c r="N31" s="199"/>
      <c r="O31" s="166"/>
      <c r="P31" s="166"/>
      <c r="Q31" s="189"/>
      <c r="R31" s="159">
        <f>SUM(M31:Q31)</f>
        <v>0</v>
      </c>
      <c r="S31" s="152">
        <f>VLOOKUP(L31,[3]종합!$D:$F,2,0)/1000/12</f>
        <v>235</v>
      </c>
      <c r="T31" s="37">
        <f t="shared" si="16"/>
        <v>235</v>
      </c>
    </row>
    <row r="32" spans="1:24" ht="18.75" customHeight="1">
      <c r="A32" s="426"/>
      <c r="B32" s="5" t="s">
        <v>92</v>
      </c>
      <c r="C32" s="5"/>
      <c r="D32" s="5"/>
      <c r="E32" s="5"/>
      <c r="F32" s="5"/>
      <c r="G32" s="78"/>
      <c r="H32" s="176">
        <f>SUM(C32:G32)</f>
        <v>0</v>
      </c>
      <c r="I32" s="146"/>
      <c r="J32" s="56">
        <f t="shared" si="15"/>
        <v>0</v>
      </c>
      <c r="K32" s="68"/>
      <c r="L32" s="92" t="s">
        <v>86</v>
      </c>
      <c r="M32" s="166"/>
      <c r="N32" s="199"/>
      <c r="O32" s="166"/>
      <c r="P32" s="166"/>
      <c r="Q32" s="189"/>
      <c r="R32" s="159">
        <f t="shared" ref="R32:R33" si="17">SUM(M32:Q32)</f>
        <v>0</v>
      </c>
      <c r="S32" s="152"/>
      <c r="T32" s="37">
        <f t="shared" si="16"/>
        <v>0</v>
      </c>
    </row>
    <row r="33" spans="1:23" ht="18.75" customHeight="1" thickBot="1">
      <c r="A33" s="427"/>
      <c r="B33" s="6"/>
      <c r="C33" s="6"/>
      <c r="D33" s="6"/>
      <c r="E33" s="6"/>
      <c r="F33" s="6"/>
      <c r="G33" s="108"/>
      <c r="H33" s="176">
        <f>SUM(C33:G33)</f>
        <v>0</v>
      </c>
      <c r="I33" s="149"/>
      <c r="J33" s="57"/>
      <c r="K33" s="68"/>
      <c r="L33" s="93" t="s">
        <v>16</v>
      </c>
      <c r="M33" s="168"/>
      <c r="N33" s="200"/>
      <c r="O33" s="168"/>
      <c r="P33" s="168"/>
      <c r="Q33" s="190"/>
      <c r="R33" s="159">
        <f t="shared" si="17"/>
        <v>0</v>
      </c>
      <c r="S33" s="152"/>
      <c r="T33" s="45"/>
    </row>
    <row r="34" spans="1:23" ht="18.75" customHeight="1" thickTop="1" thickBot="1">
      <c r="A34" s="432" t="s">
        <v>31</v>
      </c>
      <c r="B34" s="433"/>
      <c r="C34" s="11">
        <f>SUM(C30:C32)</f>
        <v>0</v>
      </c>
      <c r="D34" s="11">
        <f t="shared" ref="D34:G34" si="18">SUM(D30:D32)</f>
        <v>0</v>
      </c>
      <c r="E34" s="11">
        <f t="shared" si="18"/>
        <v>0</v>
      </c>
      <c r="F34" s="11">
        <f t="shared" si="18"/>
        <v>0</v>
      </c>
      <c r="G34" s="11">
        <f t="shared" si="18"/>
        <v>0</v>
      </c>
      <c r="H34" s="178">
        <f>SUM(H30:H33)</f>
        <v>0</v>
      </c>
      <c r="I34" s="150">
        <f>SUM(I30:I33)</f>
        <v>305</v>
      </c>
      <c r="J34" s="36">
        <f>SUM(J30:J33)</f>
        <v>-305</v>
      </c>
      <c r="K34" s="69"/>
      <c r="L34" s="180" t="s">
        <v>32</v>
      </c>
      <c r="M34" s="169">
        <f>SUM(M30:M33)</f>
        <v>0</v>
      </c>
      <c r="N34" s="201">
        <f t="shared" ref="N34:S34" si="19">SUM(N30:N33)</f>
        <v>0</v>
      </c>
      <c r="O34" s="169">
        <f t="shared" si="19"/>
        <v>0</v>
      </c>
      <c r="P34" s="169">
        <f t="shared" si="19"/>
        <v>0</v>
      </c>
      <c r="Q34" s="194">
        <f t="shared" si="19"/>
        <v>0</v>
      </c>
      <c r="R34" s="180">
        <f t="shared" si="19"/>
        <v>0</v>
      </c>
      <c r="S34" s="153">
        <f t="shared" si="19"/>
        <v>443.33333333333337</v>
      </c>
      <c r="T34" s="46">
        <f>SUM(T30:T33)</f>
        <v>443.33333333333337</v>
      </c>
    </row>
    <row r="35" spans="1:23" ht="18.75" customHeight="1" thickTop="1" thickBot="1">
      <c r="A35" s="430"/>
      <c r="B35" s="431"/>
      <c r="C35" s="139"/>
      <c r="D35" s="250"/>
      <c r="E35" s="250"/>
      <c r="F35" s="250"/>
      <c r="G35" s="140"/>
      <c r="H35" s="438" t="s">
        <v>97</v>
      </c>
      <c r="I35" s="439"/>
      <c r="J35" s="263">
        <v>1829.5039999999999</v>
      </c>
      <c r="K35" s="69"/>
      <c r="L35" s="161" t="s">
        <v>98</v>
      </c>
      <c r="M35" s="209">
        <f>J35+(C34+C35)-M34</f>
        <v>1829.5039999999999</v>
      </c>
      <c r="N35" s="209">
        <f>M35+D34-N34</f>
        <v>1829.5039999999999</v>
      </c>
      <c r="O35" s="209">
        <f>N35+E34-O34</f>
        <v>1829.5039999999999</v>
      </c>
      <c r="P35" s="209">
        <f>O35+F34-P34</f>
        <v>1829.5039999999999</v>
      </c>
      <c r="Q35" s="328">
        <f>P35+G34-Q34</f>
        <v>1829.5039999999999</v>
      </c>
      <c r="R35" s="118"/>
      <c r="S35" s="118"/>
      <c r="T35" s="119"/>
      <c r="V35" s="120"/>
      <c r="W35" s="121"/>
    </row>
    <row r="36" spans="1:23" ht="18.600000000000001" customHeight="1" thickBot="1">
      <c r="A36" s="425" t="s">
        <v>39</v>
      </c>
      <c r="B36" s="4" t="s">
        <v>40</v>
      </c>
      <c r="C36" s="4"/>
      <c r="D36" s="4"/>
      <c r="E36" s="4"/>
      <c r="F36" s="4"/>
      <c r="G36" s="79"/>
      <c r="H36" s="177">
        <f>SUM(C36:G36)</f>
        <v>0</v>
      </c>
      <c r="I36" s="146">
        <f>7300/12</f>
        <v>608.33333333333337</v>
      </c>
      <c r="J36" s="79">
        <f t="shared" ref="J36:J37" si="20">H36-I36</f>
        <v>-608.33333333333337</v>
      </c>
      <c r="K36" s="82"/>
      <c r="L36" s="94" t="s">
        <v>42</v>
      </c>
      <c r="M36" s="165"/>
      <c r="N36" s="198"/>
      <c r="O36" s="165"/>
      <c r="P36" s="165"/>
      <c r="Q36" s="191"/>
      <c r="R36" s="81">
        <f>SUM(M36:Q36)</f>
        <v>0</v>
      </c>
      <c r="S36" s="266">
        <f>VLOOKUP(L36,[3]종합!$D:$F,2,0)/1000/12</f>
        <v>608.33333333333337</v>
      </c>
      <c r="T36" s="155"/>
    </row>
    <row r="37" spans="1:23" ht="18.75" customHeight="1">
      <c r="A37" s="426"/>
      <c r="B37" s="5" t="s">
        <v>41</v>
      </c>
      <c r="C37" s="5"/>
      <c r="D37" s="5"/>
      <c r="E37" s="5"/>
      <c r="F37" s="5"/>
      <c r="G37" s="78"/>
      <c r="H37" s="177">
        <f>SUM(C37:G37)</f>
        <v>0</v>
      </c>
      <c r="I37" s="146">
        <f>11200/12</f>
        <v>933.33333333333337</v>
      </c>
      <c r="J37" s="56">
        <f t="shared" si="20"/>
        <v>-933.33333333333337</v>
      </c>
      <c r="K37" s="68"/>
      <c r="L37" s="92" t="s">
        <v>43</v>
      </c>
      <c r="M37" s="166"/>
      <c r="N37" s="199"/>
      <c r="O37" s="166"/>
      <c r="P37" s="166"/>
      <c r="Q37" s="189"/>
      <c r="R37" s="159">
        <f>SUM(M37:Q37)</f>
        <v>0</v>
      </c>
      <c r="S37" s="152">
        <f>VLOOKUP(L37,[3]종합!$D:$F,2,0)/1000/12</f>
        <v>933.33333333333337</v>
      </c>
      <c r="T37" s="156"/>
    </row>
    <row r="38" spans="1:23" ht="21" customHeight="1" thickBot="1">
      <c r="A38" s="427"/>
      <c r="B38" s="6" t="s">
        <v>90</v>
      </c>
      <c r="C38" s="6"/>
      <c r="D38" s="6"/>
      <c r="E38" s="6"/>
      <c r="F38" s="6"/>
      <c r="G38" s="108"/>
      <c r="H38" s="179">
        <f>SUM(C38:G38)</f>
        <v>0</v>
      </c>
      <c r="I38" s="146"/>
      <c r="J38" s="57"/>
      <c r="K38" s="68"/>
      <c r="L38" s="80"/>
      <c r="M38" s="168"/>
      <c r="N38" s="200"/>
      <c r="O38" s="168"/>
      <c r="P38" s="168"/>
      <c r="Q38" s="190"/>
      <c r="R38" s="159">
        <f>SUM(M38:Q38)</f>
        <v>0</v>
      </c>
      <c r="S38" s="152"/>
      <c r="T38" s="157"/>
    </row>
    <row r="39" spans="1:23" ht="18.75" customHeight="1" thickTop="1" thickBot="1">
      <c r="A39" s="432" t="s">
        <v>31</v>
      </c>
      <c r="B39" s="433"/>
      <c r="C39" s="11">
        <f>SUM(C36:C38)</f>
        <v>0</v>
      </c>
      <c r="D39" s="11">
        <f t="shared" ref="D39:H39" si="21">SUM(D36:D38)</f>
        <v>0</v>
      </c>
      <c r="E39" s="11">
        <f t="shared" si="21"/>
        <v>0</v>
      </c>
      <c r="F39" s="11">
        <f t="shared" si="21"/>
        <v>0</v>
      </c>
      <c r="G39" s="36">
        <f t="shared" ref="G39" si="22">SUM(G36:G38)</f>
        <v>0</v>
      </c>
      <c r="H39" s="178">
        <f t="shared" si="21"/>
        <v>0</v>
      </c>
      <c r="I39" s="148">
        <f>SUM(I36:I38)</f>
        <v>1541.6666666666667</v>
      </c>
      <c r="J39" s="36">
        <f>SUM(J36:J38)</f>
        <v>-1541.6666666666667</v>
      </c>
      <c r="K39" s="69"/>
      <c r="L39" s="180" t="s">
        <v>32</v>
      </c>
      <c r="M39" s="169">
        <f>SUM(M36:M38)</f>
        <v>0</v>
      </c>
      <c r="N39" s="201">
        <f>SUM(N36:N38)</f>
        <v>0</v>
      </c>
      <c r="O39" s="169">
        <f t="shared" ref="O39:S39" si="23">SUM(O36:O38)</f>
        <v>0</v>
      </c>
      <c r="P39" s="169">
        <f t="shared" si="23"/>
        <v>0</v>
      </c>
      <c r="Q39" s="194">
        <f t="shared" si="23"/>
        <v>0</v>
      </c>
      <c r="R39" s="180">
        <f t="shared" si="23"/>
        <v>0</v>
      </c>
      <c r="S39" s="153">
        <f t="shared" si="23"/>
        <v>1541.6666666666667</v>
      </c>
      <c r="T39" s="46">
        <f>SUM(T36:T38)</f>
        <v>0</v>
      </c>
    </row>
    <row r="40" spans="1:23" ht="18.75" customHeight="1" thickTop="1" thickBot="1">
      <c r="A40" s="430"/>
      <c r="B40" s="431"/>
      <c r="C40" s="139"/>
      <c r="D40" s="250"/>
      <c r="E40" s="250"/>
      <c r="F40" s="250"/>
      <c r="G40" s="140"/>
      <c r="H40" s="438" t="s">
        <v>97</v>
      </c>
      <c r="I40" s="439"/>
      <c r="J40" s="263">
        <v>1635</v>
      </c>
      <c r="K40" s="69"/>
      <c r="L40" s="161" t="s">
        <v>98</v>
      </c>
      <c r="M40" s="209">
        <f>J40+C39-M39</f>
        <v>1635</v>
      </c>
      <c r="N40" s="274">
        <f>M40+D39-N39</f>
        <v>1635</v>
      </c>
      <c r="O40" s="209">
        <f>N40+E39-O39</f>
        <v>1635</v>
      </c>
      <c r="P40" s="209">
        <f>O40+F39-P39</f>
        <v>1635</v>
      </c>
      <c r="Q40" s="331">
        <f>P40+G39-Q39</f>
        <v>1635</v>
      </c>
      <c r="R40" s="118"/>
      <c r="S40" s="118"/>
      <c r="T40" s="119"/>
      <c r="V40" s="120"/>
      <c r="W40" s="121"/>
    </row>
    <row r="41" spans="1:23" ht="18.600000000000001" customHeight="1">
      <c r="A41" s="425" t="s">
        <v>130</v>
      </c>
      <c r="B41" s="4" t="s">
        <v>131</v>
      </c>
      <c r="C41" s="4"/>
      <c r="D41" s="5"/>
      <c r="E41" s="5"/>
      <c r="F41" s="5"/>
      <c r="G41" s="78"/>
      <c r="H41" s="177">
        <f>SUM(C41:G41)</f>
        <v>0</v>
      </c>
      <c r="I41" s="146"/>
      <c r="J41" s="79">
        <f t="shared" ref="J41:J43" si="24">H41-I41</f>
        <v>0</v>
      </c>
      <c r="K41" s="82"/>
      <c r="L41" s="94" t="s">
        <v>132</v>
      </c>
      <c r="M41" s="165"/>
      <c r="N41" s="198"/>
      <c r="O41" s="165"/>
      <c r="P41" s="165"/>
      <c r="Q41" s="191"/>
      <c r="R41" s="81">
        <f>SUM(M41:Q41)</f>
        <v>0</v>
      </c>
      <c r="S41" s="266" t="e">
        <f>VLOOKUP(L41,[3]종합!$D:$F,2,0)/1000/12</f>
        <v>#N/A</v>
      </c>
      <c r="T41" s="155"/>
    </row>
    <row r="42" spans="1:23" ht="18.75" customHeight="1">
      <c r="A42" s="426"/>
      <c r="B42" s="5" t="s">
        <v>206</v>
      </c>
      <c r="C42" s="5"/>
      <c r="D42" s="5"/>
      <c r="E42" s="5"/>
      <c r="F42" s="5"/>
      <c r="G42" s="78"/>
      <c r="H42" s="176">
        <f>SUM(C42:G42)</f>
        <v>0</v>
      </c>
      <c r="I42" s="146"/>
      <c r="J42" s="56">
        <f t="shared" si="24"/>
        <v>0</v>
      </c>
      <c r="K42" s="68"/>
      <c r="L42" s="92" t="s">
        <v>133</v>
      </c>
      <c r="M42" s="166"/>
      <c r="N42" s="199"/>
      <c r="O42" s="166"/>
      <c r="P42" s="166"/>
      <c r="Q42" s="189"/>
      <c r="R42" s="159">
        <f>SUM(M42:Q42)</f>
        <v>0</v>
      </c>
      <c r="S42" s="152" t="e">
        <f>VLOOKUP(L42,[3]종합!$D:$F,2,0)/1000/12</f>
        <v>#N/A</v>
      </c>
      <c r="T42" s="156"/>
    </row>
    <row r="43" spans="1:23" ht="21" customHeight="1" thickBot="1">
      <c r="A43" s="427"/>
      <c r="B43" s="6" t="s">
        <v>23</v>
      </c>
      <c r="C43" s="6"/>
      <c r="D43" s="6"/>
      <c r="E43" s="6"/>
      <c r="F43" s="6"/>
      <c r="G43" s="108"/>
      <c r="H43" s="179">
        <f>SUM(C43:G43)</f>
        <v>0</v>
      </c>
      <c r="I43" s="146"/>
      <c r="J43" s="57">
        <f t="shared" si="24"/>
        <v>0</v>
      </c>
      <c r="K43" s="68"/>
      <c r="L43" s="80" t="s">
        <v>202</v>
      </c>
      <c r="M43" s="168"/>
      <c r="N43" s="200"/>
      <c r="O43" s="168"/>
      <c r="P43" s="168"/>
      <c r="Q43" s="190"/>
      <c r="R43" s="159">
        <f>SUM(M43:Q43)</f>
        <v>0</v>
      </c>
      <c r="S43" s="152"/>
      <c r="T43" s="157"/>
    </row>
    <row r="44" spans="1:23" ht="18.75" customHeight="1" thickTop="1" thickBot="1">
      <c r="A44" s="432" t="s">
        <v>31</v>
      </c>
      <c r="B44" s="433"/>
      <c r="C44" s="316">
        <f>SUM(C41:C43)</f>
        <v>0</v>
      </c>
      <c r="D44" s="316">
        <f t="shared" ref="D44:G44" si="25">SUM(D41:D43)</f>
        <v>0</v>
      </c>
      <c r="E44" s="11">
        <f t="shared" si="25"/>
        <v>0</v>
      </c>
      <c r="F44" s="11">
        <f t="shared" si="25"/>
        <v>0</v>
      </c>
      <c r="G44" s="36">
        <f t="shared" si="25"/>
        <v>0</v>
      </c>
      <c r="H44" s="269">
        <f>SUM(H41:H43)</f>
        <v>0</v>
      </c>
      <c r="I44" s="148">
        <f>SUM(I41:I43)</f>
        <v>0</v>
      </c>
      <c r="J44" s="36">
        <f>SUM(J41:J43)</f>
        <v>0</v>
      </c>
      <c r="K44" s="69"/>
      <c r="L44" s="180" t="s">
        <v>32</v>
      </c>
      <c r="M44" s="314">
        <f>SUM(M41:M43)</f>
        <v>0</v>
      </c>
      <c r="N44" s="315">
        <f>SUM(N41:N43)</f>
        <v>0</v>
      </c>
      <c r="O44" s="169">
        <f t="shared" ref="O44:S44" si="26">SUM(O41:O43)</f>
        <v>0</v>
      </c>
      <c r="P44" s="169">
        <f t="shared" si="26"/>
        <v>0</v>
      </c>
      <c r="Q44" s="194">
        <f t="shared" si="26"/>
        <v>0</v>
      </c>
      <c r="R44" s="180">
        <f t="shared" si="26"/>
        <v>0</v>
      </c>
      <c r="S44" s="153" t="e">
        <f t="shared" si="26"/>
        <v>#N/A</v>
      </c>
      <c r="T44" s="46">
        <f>SUM(T41:T43)</f>
        <v>0</v>
      </c>
    </row>
    <row r="45" spans="1:23" ht="18.75" customHeight="1" thickTop="1" thickBot="1">
      <c r="A45" s="430"/>
      <c r="B45" s="431"/>
      <c r="C45" s="139"/>
      <c r="D45" s="250"/>
      <c r="E45" s="250"/>
      <c r="F45" s="250"/>
      <c r="G45" s="140"/>
      <c r="H45" s="438" t="s">
        <v>97</v>
      </c>
      <c r="I45" s="439"/>
      <c r="J45" s="263">
        <v>46969.39</v>
      </c>
      <c r="K45" s="69"/>
      <c r="L45" s="161" t="s">
        <v>98</v>
      </c>
      <c r="M45" s="209">
        <f>J45+C44-M44</f>
        <v>46969.39</v>
      </c>
      <c r="N45" s="209">
        <f>M45+D44-N44</f>
        <v>46969.39</v>
      </c>
      <c r="O45" s="209">
        <f>N45+E44-O44</f>
        <v>46969.39</v>
      </c>
      <c r="P45" s="209">
        <f>O45+F44-P44</f>
        <v>46969.39</v>
      </c>
      <c r="Q45" s="328">
        <f>P45+G44-Q44</f>
        <v>46969.39</v>
      </c>
      <c r="R45" s="118"/>
      <c r="S45" s="118"/>
      <c r="T45" s="119"/>
      <c r="V45" s="120"/>
      <c r="W45" s="121"/>
    </row>
    <row r="46" spans="1:23" ht="18.600000000000001" customHeight="1">
      <c r="A46" s="425" t="s">
        <v>195</v>
      </c>
      <c r="B46" s="4" t="s">
        <v>196</v>
      </c>
      <c r="C46" s="4"/>
      <c r="D46" s="4"/>
      <c r="E46" s="4"/>
      <c r="F46" s="4"/>
      <c r="G46" s="79"/>
      <c r="H46" s="177">
        <f>SUM(C46:G46)</f>
        <v>0</v>
      </c>
      <c r="I46" s="146"/>
      <c r="J46" s="79">
        <f t="shared" ref="J46:J47" si="27">H46-I46</f>
        <v>0</v>
      </c>
      <c r="K46" s="82"/>
      <c r="L46" s="94" t="s">
        <v>7</v>
      </c>
      <c r="M46" s="165"/>
      <c r="N46" s="198"/>
      <c r="O46" s="165"/>
      <c r="P46" s="165"/>
      <c r="Q46" s="191"/>
      <c r="R46" s="81">
        <f>SUM(M46:Q46)</f>
        <v>0</v>
      </c>
      <c r="S46" s="266">
        <f>VLOOKUP(L46,[3]종합!$D:$F,2,0)/1000/12</f>
        <v>575</v>
      </c>
      <c r="T46" s="155"/>
    </row>
    <row r="47" spans="1:23" ht="18.75" customHeight="1">
      <c r="A47" s="426"/>
      <c r="B47" s="5" t="s">
        <v>205</v>
      </c>
      <c r="C47" s="5"/>
      <c r="D47" s="5"/>
      <c r="E47" s="5"/>
      <c r="F47" s="5"/>
      <c r="G47" s="78"/>
      <c r="H47" s="176">
        <f>SUM(C47:G47)</f>
        <v>0</v>
      </c>
      <c r="I47" s="146"/>
      <c r="J47" s="56">
        <f t="shared" si="27"/>
        <v>0</v>
      </c>
      <c r="K47" s="68"/>
      <c r="L47" s="92" t="s">
        <v>202</v>
      </c>
      <c r="M47" s="166"/>
      <c r="N47" s="199"/>
      <c r="O47" s="166"/>
      <c r="P47" s="166"/>
      <c r="Q47" s="189"/>
      <c r="R47" s="159">
        <f>SUM(M47:Q47)</f>
        <v>0</v>
      </c>
      <c r="S47" s="152" t="e">
        <f>VLOOKUP(L47,[3]종합!$D:$F,2,0)/1000/12</f>
        <v>#N/A</v>
      </c>
      <c r="T47" s="156"/>
    </row>
    <row r="48" spans="1:23" ht="21" customHeight="1" thickBot="1">
      <c r="A48" s="427"/>
      <c r="B48" s="6" t="s">
        <v>200</v>
      </c>
      <c r="C48" s="6"/>
      <c r="D48" s="6"/>
      <c r="E48" s="6"/>
      <c r="F48" s="6"/>
      <c r="G48" s="108"/>
      <c r="H48" s="179">
        <f>SUM(C48:G48)</f>
        <v>0</v>
      </c>
      <c r="I48" s="146"/>
      <c r="J48" s="57">
        <f>H48-I48</f>
        <v>0</v>
      </c>
      <c r="K48" s="68"/>
      <c r="L48" s="80"/>
      <c r="M48" s="168"/>
      <c r="N48" s="200"/>
      <c r="O48" s="168"/>
      <c r="P48" s="168"/>
      <c r="Q48" s="190"/>
      <c r="R48" s="159">
        <f>SUM(M48:Q48)</f>
        <v>0</v>
      </c>
      <c r="S48" s="152"/>
      <c r="T48" s="157"/>
    </row>
    <row r="49" spans="1:24" ht="18.75" customHeight="1" thickTop="1" thickBot="1">
      <c r="A49" s="432" t="s">
        <v>31</v>
      </c>
      <c r="B49" s="433"/>
      <c r="C49" s="11">
        <f>SUM(C46:C48)</f>
        <v>0</v>
      </c>
      <c r="D49" s="11">
        <f t="shared" ref="D49:G49" si="28">SUM(D46:D48)</f>
        <v>0</v>
      </c>
      <c r="E49" s="11">
        <f t="shared" si="28"/>
        <v>0</v>
      </c>
      <c r="F49" s="11">
        <f t="shared" si="28"/>
        <v>0</v>
      </c>
      <c r="G49" s="36">
        <f t="shared" si="28"/>
        <v>0</v>
      </c>
      <c r="H49" s="178">
        <f>SUM(H46:H48)</f>
        <v>0</v>
      </c>
      <c r="I49" s="148">
        <f>SUM(I46:I48)</f>
        <v>0</v>
      </c>
      <c r="J49" s="36">
        <f>SUM(J46:J48)</f>
        <v>0</v>
      </c>
      <c r="K49" s="69"/>
      <c r="L49" s="180" t="s">
        <v>32</v>
      </c>
      <c r="M49" s="169">
        <f>SUM(M46:M48)</f>
        <v>0</v>
      </c>
      <c r="N49" s="201">
        <f>SUM(N46:N48)</f>
        <v>0</v>
      </c>
      <c r="O49" s="169">
        <f t="shared" ref="O49:S49" si="29">SUM(O46:O48)</f>
        <v>0</v>
      </c>
      <c r="P49" s="169">
        <f t="shared" si="29"/>
        <v>0</v>
      </c>
      <c r="Q49" s="194">
        <f t="shared" si="29"/>
        <v>0</v>
      </c>
      <c r="R49" s="180">
        <f t="shared" si="29"/>
        <v>0</v>
      </c>
      <c r="S49" s="153" t="e">
        <f t="shared" si="29"/>
        <v>#N/A</v>
      </c>
      <c r="T49" s="46">
        <f>SUM(T46:T48)</f>
        <v>0</v>
      </c>
    </row>
    <row r="50" spans="1:24" ht="18.75" customHeight="1" thickTop="1" thickBot="1">
      <c r="A50" s="430"/>
      <c r="B50" s="431"/>
      <c r="C50" s="139"/>
      <c r="D50" s="250"/>
      <c r="E50" s="250"/>
      <c r="F50" s="250"/>
      <c r="G50" s="140"/>
      <c r="H50" s="438" t="s">
        <v>97</v>
      </c>
      <c r="I50" s="439"/>
      <c r="J50" s="263">
        <v>22034.545999999998</v>
      </c>
      <c r="K50" s="69"/>
      <c r="L50" s="161" t="s">
        <v>98</v>
      </c>
      <c r="M50" s="209">
        <f>J50+C49-M49</f>
        <v>22034.545999999998</v>
      </c>
      <c r="N50" s="209">
        <f>M50+D49-N49</f>
        <v>22034.545999999998</v>
      </c>
      <c r="O50" s="209">
        <f>N50+E49-O49</f>
        <v>22034.545999999998</v>
      </c>
      <c r="P50" s="209">
        <f>O50+F49-P49</f>
        <v>22034.545999999998</v>
      </c>
      <c r="Q50" s="328">
        <f>P50+G49-Q49</f>
        <v>22034.545999999998</v>
      </c>
      <c r="R50" s="118"/>
      <c r="S50" s="118"/>
      <c r="T50" s="119"/>
      <c r="V50" s="120"/>
      <c r="W50" s="121"/>
    </row>
    <row r="51" spans="1:24" ht="26.25" customHeight="1" thickBot="1">
      <c r="A51" s="435" t="s">
        <v>93</v>
      </c>
      <c r="B51" s="117" t="s">
        <v>94</v>
      </c>
      <c r="C51" s="117">
        <f>C39+C34+C28+C19+C21+C44
+C49</f>
        <v>0</v>
      </c>
      <c r="D51" s="117">
        <f t="shared" ref="D51:E51" si="30">D39+D34+D28+D19+D21+D44
+D49</f>
        <v>0</v>
      </c>
      <c r="E51" s="117">
        <f t="shared" si="30"/>
        <v>0</v>
      </c>
      <c r="F51" s="117">
        <f>F39+F34+F28+F19+F21+F44
+F49</f>
        <v>0</v>
      </c>
      <c r="G51" s="117">
        <f>G39+G34+G28+G19+G21+G44
+G49</f>
        <v>0</v>
      </c>
      <c r="H51" s="132">
        <f>H39+H34+H28+H19+H21+H44+H49</f>
        <v>0</v>
      </c>
      <c r="I51" s="151">
        <f>I39+I34+I28+I19+I21</f>
        <v>39093.333333333336</v>
      </c>
      <c r="J51" s="131"/>
      <c r="K51" s="83"/>
      <c r="L51" s="132" t="s">
        <v>99</v>
      </c>
      <c r="M51" s="203">
        <f>M39+M34+M28+M19+M21+M44+M49</f>
        <v>0</v>
      </c>
      <c r="N51" s="195">
        <f t="shared" ref="N51:Q51" si="31">N39+N34+N28+N19+N21+N44+N49</f>
        <v>0</v>
      </c>
      <c r="O51" s="203">
        <f>O39+O34+O28+O19+O21+O44+O49</f>
        <v>0</v>
      </c>
      <c r="P51" s="195">
        <f t="shared" si="31"/>
        <v>0</v>
      </c>
      <c r="Q51" s="203">
        <f t="shared" si="31"/>
        <v>0</v>
      </c>
      <c r="R51" s="270">
        <f>R39+R34+R28+R19+R21+R44+R49</f>
        <v>0</v>
      </c>
      <c r="S51" s="154">
        <f>(S39+S34+S28+S19)-S36-S37-S21</f>
        <v>34373.010833333334</v>
      </c>
      <c r="T51" s="47">
        <f>S51-R51</f>
        <v>34373.010833333334</v>
      </c>
      <c r="V51" s="144"/>
      <c r="W51" s="144"/>
      <c r="X51" s="144"/>
    </row>
    <row r="52" spans="1:24" ht="26.25" customHeight="1" thickBot="1">
      <c r="A52" s="436"/>
      <c r="B52" s="181"/>
      <c r="C52" s="182"/>
      <c r="D52" s="182"/>
      <c r="E52" s="182"/>
      <c r="F52" s="182"/>
      <c r="G52" s="182"/>
      <c r="H52" s="132"/>
      <c r="I52" s="151"/>
      <c r="J52" s="131"/>
      <c r="K52" s="83"/>
      <c r="L52" s="132" t="s">
        <v>125</v>
      </c>
      <c r="M52" s="203">
        <f>+M40+M35+M22+M20</f>
        <v>71519.8</v>
      </c>
      <c r="N52" s="203">
        <f>+N40+N35+N22+N20</f>
        <v>71519.8</v>
      </c>
      <c r="O52" s="203">
        <f>+O40+O35+O22+O20</f>
        <v>71519.8</v>
      </c>
      <c r="P52" s="203">
        <f>+P40+P35+P22+P20</f>
        <v>71519.8</v>
      </c>
      <c r="Q52" s="252">
        <f>+Q40+Q35+Q22+Q20</f>
        <v>71519.8</v>
      </c>
      <c r="R52" s="455"/>
      <c r="S52" s="456"/>
      <c r="T52" s="457"/>
      <c r="V52" s="144"/>
    </row>
    <row r="53" spans="1:24" ht="26.25" customHeight="1" thickBot="1">
      <c r="A53" s="436"/>
      <c r="B53" s="181"/>
      <c r="C53" s="182"/>
      <c r="D53" s="182"/>
      <c r="E53" s="182"/>
      <c r="F53" s="182"/>
      <c r="G53" s="182"/>
      <c r="H53" s="132"/>
      <c r="I53" s="151"/>
      <c r="J53" s="131"/>
      <c r="K53" s="83"/>
      <c r="L53" s="132" t="s">
        <v>126</v>
      </c>
      <c r="M53" s="203">
        <f>M29</f>
        <v>257676.19200000001</v>
      </c>
      <c r="N53" s="203">
        <f>N29</f>
        <v>257676.19200000001</v>
      </c>
      <c r="O53" s="203">
        <f>O29</f>
        <v>257676.19200000001</v>
      </c>
      <c r="P53" s="203">
        <f>P29</f>
        <v>257676.19200000001</v>
      </c>
      <c r="Q53" s="252">
        <f>Q29</f>
        <v>257676.19200000001</v>
      </c>
      <c r="R53" s="458"/>
      <c r="S53" s="459"/>
      <c r="T53" s="460"/>
      <c r="V53" s="144"/>
    </row>
    <row r="54" spans="1:24" ht="26.25" customHeight="1" thickBot="1">
      <c r="A54" s="436"/>
      <c r="B54" s="181"/>
      <c r="C54" s="182"/>
      <c r="D54" s="182"/>
      <c r="E54" s="182"/>
      <c r="F54" s="182"/>
      <c r="G54" s="182"/>
      <c r="H54" s="132"/>
      <c r="I54" s="151"/>
      <c r="J54" s="131"/>
      <c r="K54" s="83"/>
      <c r="L54" s="132" t="s">
        <v>134</v>
      </c>
      <c r="M54" s="203">
        <f>M45</f>
        <v>46969.39</v>
      </c>
      <c r="N54" s="203">
        <f t="shared" ref="N54:Q54" si="32">N45</f>
        <v>46969.39</v>
      </c>
      <c r="O54" s="203">
        <f t="shared" si="32"/>
        <v>46969.39</v>
      </c>
      <c r="P54" s="203">
        <f t="shared" si="32"/>
        <v>46969.39</v>
      </c>
      <c r="Q54" s="252">
        <f t="shared" si="32"/>
        <v>46969.39</v>
      </c>
      <c r="R54" s="458"/>
      <c r="S54" s="459"/>
      <c r="T54" s="460"/>
      <c r="V54" s="144"/>
    </row>
    <row r="55" spans="1:24" ht="26.25" customHeight="1" thickBot="1">
      <c r="A55" s="437"/>
      <c r="B55" s="142"/>
      <c r="C55" s="141"/>
      <c r="D55" s="141"/>
      <c r="E55" s="141"/>
      <c r="F55" s="141"/>
      <c r="G55" s="141"/>
      <c r="H55" s="464" t="s">
        <v>100</v>
      </c>
      <c r="I55" s="465"/>
      <c r="J55" s="335">
        <f>J40+J35+J29+J22+J20+J45+J50</f>
        <v>398199.92799999996</v>
      </c>
      <c r="K55" s="83"/>
      <c r="L55" s="160" t="s">
        <v>127</v>
      </c>
      <c r="M55" s="211">
        <f>SUM(M52:M54)</f>
        <v>376165.38200000004</v>
      </c>
      <c r="N55" s="211">
        <f t="shared" ref="N55:O55" si="33">SUM(N52:N54)</f>
        <v>376165.38200000004</v>
      </c>
      <c r="O55" s="211">
        <f t="shared" si="33"/>
        <v>376165.38200000004</v>
      </c>
      <c r="P55" s="211">
        <f>SUM(P52:P54)+P50</f>
        <v>398199.92800000001</v>
      </c>
      <c r="Q55" s="253">
        <f>SUM(Q52:Q54)+Q50</f>
        <v>398199.92800000001</v>
      </c>
      <c r="R55" s="461"/>
      <c r="S55" s="462"/>
      <c r="T55" s="463"/>
    </row>
    <row r="56" spans="1:24" ht="6.75" customHeight="1">
      <c r="A56" s="23"/>
      <c r="B56" s="23"/>
      <c r="C56" s="23"/>
      <c r="D56" s="23"/>
      <c r="E56" s="23"/>
      <c r="F56" s="23"/>
      <c r="G56" s="23"/>
      <c r="H56" s="25"/>
      <c r="I56" s="25"/>
      <c r="J56" s="25"/>
      <c r="K56" s="84"/>
      <c r="L56" s="23"/>
      <c r="M56" s="23"/>
      <c r="N56" s="88"/>
      <c r="O56" s="88"/>
      <c r="P56" s="88"/>
      <c r="Q56" s="23"/>
      <c r="R56" s="23"/>
      <c r="S56" s="23"/>
      <c r="T56" s="23"/>
    </row>
    <row r="57" spans="1:24">
      <c r="A57" s="434" t="s">
        <v>95</v>
      </c>
      <c r="B57" s="434"/>
      <c r="C57" s="434"/>
      <c r="D57" s="434"/>
      <c r="L57" s="254" t="s">
        <v>106</v>
      </c>
      <c r="M57" s="254"/>
      <c r="N57" s="254"/>
      <c r="O57" s="254"/>
      <c r="P57" s="89"/>
      <c r="R57" s="255"/>
    </row>
    <row r="58" spans="1:24">
      <c r="C58" s="124"/>
    </row>
    <row r="65" spans="1:7" ht="5.25" customHeight="1"/>
    <row r="66" spans="1:7">
      <c r="A66" s="110"/>
      <c r="C66" s="43"/>
      <c r="D66" s="43"/>
    </row>
    <row r="67" spans="1:7" ht="18.75" hidden="1" customHeight="1">
      <c r="A67" s="125">
        <v>5</v>
      </c>
      <c r="B67" s="173"/>
      <c r="C67" s="469"/>
      <c r="D67" s="470"/>
      <c r="E67" s="271"/>
      <c r="F67" s="469"/>
      <c r="G67" s="471"/>
    </row>
    <row r="68" spans="1:7" ht="18.75" hidden="1" customHeight="1">
      <c r="A68" s="111">
        <v>6</v>
      </c>
      <c r="B68" s="143"/>
      <c r="C68" s="423"/>
      <c r="D68" s="468"/>
      <c r="E68" s="272"/>
      <c r="F68" s="423"/>
      <c r="G68" s="424"/>
    </row>
    <row r="69" spans="1:7" ht="18" hidden="1" customHeight="1">
      <c r="A69" s="112">
        <v>7</v>
      </c>
      <c r="B69" s="138"/>
      <c r="C69" s="466"/>
      <c r="D69" s="472"/>
      <c r="E69" s="273"/>
      <c r="F69" s="466"/>
      <c r="G69" s="467"/>
    </row>
  </sheetData>
  <mergeCells count="45">
    <mergeCell ref="F69:G69"/>
    <mergeCell ref="C68:D68"/>
    <mergeCell ref="F68:G68"/>
    <mergeCell ref="C67:D67"/>
    <mergeCell ref="F67:G67"/>
    <mergeCell ref="C69:D69"/>
    <mergeCell ref="R52:T55"/>
    <mergeCell ref="H29:I29"/>
    <mergeCell ref="H35:I35"/>
    <mergeCell ref="H40:I40"/>
    <mergeCell ref="H55:I55"/>
    <mergeCell ref="H45:I45"/>
    <mergeCell ref="H50:I50"/>
    <mergeCell ref="H20:I20"/>
    <mergeCell ref="H22:I22"/>
    <mergeCell ref="A5:A18"/>
    <mergeCell ref="A1:T1"/>
    <mergeCell ref="A3:B4"/>
    <mergeCell ref="L3:L4"/>
    <mergeCell ref="T3:T4"/>
    <mergeCell ref="C3:I3"/>
    <mergeCell ref="M3:S3"/>
    <mergeCell ref="A2:D2"/>
    <mergeCell ref="J3:J4"/>
    <mergeCell ref="A19:B19"/>
    <mergeCell ref="A20:B20"/>
    <mergeCell ref="A57:D57"/>
    <mergeCell ref="A51:A55"/>
    <mergeCell ref="A40:B40"/>
    <mergeCell ref="A39:B39"/>
    <mergeCell ref="A36:A38"/>
    <mergeCell ref="A41:A43"/>
    <mergeCell ref="A44:B44"/>
    <mergeCell ref="A45:B45"/>
    <mergeCell ref="A46:A48"/>
    <mergeCell ref="A49:B49"/>
    <mergeCell ref="A50:B50"/>
    <mergeCell ref="A23:A27"/>
    <mergeCell ref="A21:B21"/>
    <mergeCell ref="A22:B22"/>
    <mergeCell ref="A35:B35"/>
    <mergeCell ref="A34:B34"/>
    <mergeCell ref="A30:A33"/>
    <mergeCell ref="A29:B29"/>
    <mergeCell ref="A28:B28"/>
  </mergeCells>
  <phoneticPr fontId="2" type="noConversion"/>
  <pageMargins left="0.23622047244094491" right="0.23622047244094491" top="0.74803149606299213" bottom="0.74803149606299213" header="0.31496062992125984" footer="0.31496062992125984"/>
  <pageSetup paperSize="9" fitToHeight="0" orientation="portrait" horizontalDpi="4294967293" vertic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/>
  <dimension ref="B1:E21"/>
  <sheetViews>
    <sheetView showGridLines="0" zoomScale="70" zoomScaleNormal="70" workbookViewId="0">
      <selection activeCell="F4" sqref="F4"/>
    </sheetView>
  </sheetViews>
  <sheetFormatPr defaultRowHeight="17.399999999999999"/>
  <cols>
    <col min="1" max="1" width="2.5" customWidth="1"/>
    <col min="2" max="2" width="6.5" style="1" customWidth="1"/>
    <col min="3" max="3" width="68.3984375" customWidth="1"/>
    <col min="4" max="4" width="13.3984375" customWidth="1"/>
    <col min="5" max="5" width="16.59765625" customWidth="1"/>
  </cols>
  <sheetData>
    <row r="1" spans="2:5" ht="28.5" customHeight="1" thickBot="1"/>
    <row r="2" spans="2:5" ht="39.6">
      <c r="B2" s="473" t="s">
        <v>226</v>
      </c>
      <c r="C2" s="474"/>
      <c r="D2" s="101"/>
      <c r="E2" s="101"/>
    </row>
    <row r="3" spans="2:5" ht="30.75" customHeight="1">
      <c r="B3" s="102"/>
      <c r="C3" s="103"/>
      <c r="D3" s="101"/>
      <c r="E3" s="101"/>
    </row>
    <row r="4" spans="2:5" ht="33" customHeight="1">
      <c r="B4" s="104">
        <v>1</v>
      </c>
      <c r="C4" s="105" t="s">
        <v>107</v>
      </c>
    </row>
    <row r="5" spans="2:5" ht="33" customHeight="1">
      <c r="B5" s="104">
        <v>2</v>
      </c>
      <c r="C5" s="214" t="s">
        <v>198</v>
      </c>
    </row>
    <row r="6" spans="2:5" ht="33" customHeight="1">
      <c r="B6" s="104">
        <v>3</v>
      </c>
      <c r="C6" s="105" t="s">
        <v>108</v>
      </c>
    </row>
    <row r="7" spans="2:5" ht="33" customHeight="1">
      <c r="B7" s="104">
        <v>4</v>
      </c>
      <c r="C7" s="105" t="s">
        <v>123</v>
      </c>
    </row>
    <row r="8" spans="2:5" ht="33" customHeight="1">
      <c r="B8" s="104">
        <v>5</v>
      </c>
      <c r="C8" s="105" t="s">
        <v>109</v>
      </c>
    </row>
    <row r="9" spans="2:5" ht="33" customHeight="1">
      <c r="B9" s="104">
        <v>6</v>
      </c>
      <c r="C9" s="105" t="s">
        <v>110</v>
      </c>
    </row>
    <row r="10" spans="2:5" ht="33" customHeight="1">
      <c r="B10" s="104">
        <v>7</v>
      </c>
      <c r="C10" s="105" t="s">
        <v>111</v>
      </c>
    </row>
    <row r="11" spans="2:5" ht="33" customHeight="1">
      <c r="B11" s="104"/>
      <c r="C11" s="105" t="s">
        <v>112</v>
      </c>
    </row>
    <row r="12" spans="2:5" ht="33" customHeight="1">
      <c r="B12" s="104"/>
      <c r="C12" s="105" t="s">
        <v>113</v>
      </c>
    </row>
    <row r="13" spans="2:5" ht="33" customHeight="1">
      <c r="B13" s="104"/>
      <c r="C13" s="105" t="s">
        <v>114</v>
      </c>
    </row>
    <row r="14" spans="2:5" ht="33" customHeight="1">
      <c r="B14" s="104"/>
      <c r="C14" s="105" t="s">
        <v>115</v>
      </c>
    </row>
    <row r="15" spans="2:5" ht="33" customHeight="1">
      <c r="B15" s="104"/>
      <c r="C15" s="105" t="s">
        <v>116</v>
      </c>
    </row>
    <row r="16" spans="2:5" ht="33" customHeight="1">
      <c r="B16" s="104"/>
      <c r="C16" s="105" t="s">
        <v>117</v>
      </c>
    </row>
    <row r="17" spans="2:3" ht="33" customHeight="1">
      <c r="B17" s="104"/>
      <c r="C17" s="105" t="s">
        <v>118</v>
      </c>
    </row>
    <row r="18" spans="2:3" ht="33" customHeight="1">
      <c r="B18" s="104"/>
      <c r="C18" s="105" t="s">
        <v>119</v>
      </c>
    </row>
    <row r="19" spans="2:3" ht="33" customHeight="1">
      <c r="B19" s="104"/>
      <c r="C19" s="105" t="s">
        <v>120</v>
      </c>
    </row>
    <row r="20" spans="2:3" ht="33" customHeight="1">
      <c r="B20" s="104"/>
      <c r="C20" s="105" t="s">
        <v>121</v>
      </c>
    </row>
    <row r="21" spans="2:3" ht="30.6" thickBot="1">
      <c r="B21" s="106">
        <v>8</v>
      </c>
      <c r="C21" s="107" t="s">
        <v>122</v>
      </c>
    </row>
  </sheetData>
  <mergeCells count="1">
    <mergeCell ref="B2:C2"/>
  </mergeCells>
  <phoneticPr fontId="2" type="noConversion"/>
  <pageMargins left="0.7" right="0.7" top="0.75" bottom="0.75" header="0.3" footer="0.3"/>
  <pageSetup paperSize="9" orientation="portrait" r:id="rId1"/>
  <headerFooter>
    <oddFooter>&amp;C&amp;P  of  &amp;N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1"/>
  <dimension ref="C4:G6"/>
  <sheetViews>
    <sheetView workbookViewId="0">
      <selection activeCell="O17" sqref="O17"/>
    </sheetView>
  </sheetViews>
  <sheetFormatPr defaultRowHeight="17.399999999999999"/>
  <sheetData>
    <row r="4" spans="3:7" ht="22.5" customHeight="1">
      <c r="C4" s="127" t="s">
        <v>105</v>
      </c>
      <c r="D4" s="127" t="s">
        <v>103</v>
      </c>
      <c r="E4" s="127" t="s">
        <v>104</v>
      </c>
      <c r="F4" s="127" t="s">
        <v>101</v>
      </c>
      <c r="G4" s="127" t="s">
        <v>102</v>
      </c>
    </row>
    <row r="5" spans="3:7" ht="44.25" customHeight="1">
      <c r="C5" s="126"/>
      <c r="D5" s="126"/>
      <c r="E5" s="126"/>
      <c r="F5" s="127"/>
      <c r="G5" s="126"/>
    </row>
    <row r="6" spans="3:7">
      <c r="F6" s="1"/>
    </row>
  </sheetData>
  <phoneticPr fontId="2" type="noConversion"/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5</vt:i4>
      </vt:variant>
      <vt:variant>
        <vt:lpstr>이름 지정된 범위</vt:lpstr>
      </vt:variant>
      <vt:variant>
        <vt:i4>2</vt:i4>
      </vt:variant>
    </vt:vector>
  </HeadingPairs>
  <TitlesOfParts>
    <vt:vector size="7" baseType="lpstr">
      <vt:lpstr>결산양식</vt:lpstr>
      <vt:lpstr>참여현황 및 주요관리항목 지출</vt:lpstr>
      <vt:lpstr>주간보고자료</vt:lpstr>
      <vt:lpstr>회계결산 표지</vt:lpstr>
      <vt:lpstr>Sheet1</vt:lpstr>
      <vt:lpstr>결산양식!Print_Area</vt:lpstr>
      <vt:lpstr>'참여현황 및 주요관리항목 지출'!Print_Area</vt:lpstr>
    </vt:vector>
  </TitlesOfParts>
  <Company>Home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UserK</dc:creator>
  <cp:lastModifiedBy>JUNSUK LEEM</cp:lastModifiedBy>
  <cp:lastPrinted>2025-10-19T00:36:59Z</cp:lastPrinted>
  <dcterms:created xsi:type="dcterms:W3CDTF">2020-01-06T13:27:59Z</dcterms:created>
  <dcterms:modified xsi:type="dcterms:W3CDTF">2026-03-14T06:21:03Z</dcterms:modified>
</cp:coreProperties>
</file>
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003378766\Downloads\"/>
    </mc:Choice>
  </mc:AlternateContent>
  <xr:revisionPtr revIDLastSave="0" documentId="13_ncr:1_{9AD4FE41-3EF6-41EF-9574-8339DA691164}" xr6:coauthVersionLast="47" xr6:coauthVersionMax="47" xr10:uidLastSave="{00000000-0000-0000-0000-000000000000}"/>
  <bookViews>
    <workbookView xWindow="-108" yWindow="-108" windowWidth="23256" windowHeight="13896" tabRatio="898" activeTab="2" xr2:uid="{00000000-000D-0000-FFFF-FFFF00000000}"/>
  </bookViews>
  <sheets>
    <sheet name="주별 헌금 장부기록 1-7" sheetId="480" r:id="rId1"/>
    <sheet name="2026년 헌금 전체 누계" sheetId="462" r:id="rId2"/>
    <sheet name="인원집계" sheetId="327" r:id="rId3"/>
    <sheet name="헌금 봉투 번호 (2026)" sheetId="490" r:id="rId4"/>
    <sheet name="입금전표 (수요집금)" sheetId="391" r:id="rId5"/>
    <sheet name="입금전표" sheetId="481" r:id="rId6"/>
  </sheets>
  <definedNames>
    <definedName name="_xlnm._FilterDatabase" localSheetId="1" hidden="1">'2026년 헌금 전체 누계'!$B$2:$V$81</definedName>
    <definedName name="_xlnm._FilterDatabase" localSheetId="0" hidden="1">'주별 헌금 장부기록 1-7'!$A$2:$X$120</definedName>
    <definedName name="_xlnm._FilterDatabase" localSheetId="3" hidden="1">'헌금 봉투 번호 (2026)'!$B$1:$G$326</definedName>
    <definedName name="_xlnm.Print_Area" localSheetId="5">입금전표!$A$1:$N$17</definedName>
    <definedName name="_xlnm.Print_Area" localSheetId="4">'입금전표 (수요집금)'!$A$1:$N$17</definedName>
    <definedName name="_xlnm.Print_Titles" localSheetId="1">'2026년 헌금 전체 누계'!$1:$2</definedName>
    <definedName name="_xlnm.Print_Titles" localSheetId="0">'주별 헌금 장부기록 1-7'!$1:$2</definedName>
    <definedName name="ㅁ" localSheetId="5">#REF!</definedName>
    <definedName name="ㅁ" localSheetId="0">#REF!</definedName>
    <definedName name="ㅁ">#REF!</definedName>
    <definedName name="ㅁㅁㅁ" localSheetId="5">#REF!</definedName>
    <definedName name="ㅁㅁㅁ" localSheetId="0">#REF!</definedName>
    <definedName name="ㅁㅁㅁ">#REF!</definedName>
    <definedName name="번호" localSheetId="5">#REF!</definedName>
    <definedName name="번호" localSheetId="0">#REF!</definedName>
    <definedName name="번호" localSheetId="3">'헌금 봉투 번호 (2026)'!#REF!</definedName>
    <definedName name="번호">#REF!</definedName>
    <definedName name="봉투번호" localSheetId="5">#REF!</definedName>
    <definedName name="봉투번호" localSheetId="0">#REF!</definedName>
    <definedName name="봉투번호" localSheetId="3">'헌금 봉투 번호 (2026)'!#REF!</definedName>
    <definedName name="봉투번호">#REF!</definedName>
    <definedName name="봉투번호1" localSheetId="5">#REF!</definedName>
    <definedName name="봉투번호1" localSheetId="0">#REF!</definedName>
    <definedName name="봉투번호1" localSheetId="3">'헌금 봉투 번호 (2026)'!#REF!</definedName>
    <definedName name="봉투번호1">#REF!</definedName>
    <definedName name="헌금봉투2017" localSheetId="5">#REF!</definedName>
    <definedName name="헌금봉투2017" localSheetId="0">#REF!</definedName>
    <definedName name="헌금봉투2017" localSheetId="3">'헌금 봉투 번호 (2026)'!#REF!</definedName>
    <definedName name="헌금봉투2017">#REF!</definedName>
    <definedName name="헌금봉투번호2017" localSheetId="5">#REF!</definedName>
    <definedName name="헌금봉투번호2017" localSheetId="0">#REF!</definedName>
    <definedName name="헌금봉투번호2017" localSheetId="3">'헌금 봉투 번호 (2026)'!#REF!</definedName>
    <definedName name="헌금봉투번호2017">#REF!</definedName>
  </definedName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4" i="480" l="1"/>
  <c r="F104" i="480"/>
  <c r="E104" i="480"/>
  <c r="G103" i="480"/>
  <c r="F103" i="480"/>
  <c r="E103" i="480"/>
  <c r="G102" i="480"/>
  <c r="F102" i="480"/>
  <c r="E102" i="480"/>
  <c r="G101" i="480"/>
  <c r="F101" i="480"/>
  <c r="E101" i="480"/>
  <c r="G100" i="480"/>
  <c r="F100" i="480"/>
  <c r="E100" i="480"/>
  <c r="G99" i="480"/>
  <c r="F99" i="480"/>
  <c r="E99" i="480"/>
  <c r="G98" i="480"/>
  <c r="F98" i="480"/>
  <c r="E98" i="480"/>
  <c r="G97" i="480"/>
  <c r="F97" i="480"/>
  <c r="E97" i="480"/>
  <c r="G96" i="480"/>
  <c r="F96" i="480"/>
  <c r="E96" i="480"/>
  <c r="G95" i="480"/>
  <c r="F95" i="480"/>
  <c r="E95" i="480"/>
  <c r="G94" i="480"/>
  <c r="F94" i="480"/>
  <c r="E94" i="480"/>
  <c r="G93" i="480"/>
  <c r="F93" i="480"/>
  <c r="E93" i="480"/>
  <c r="G92" i="480"/>
  <c r="F92" i="480"/>
  <c r="E92" i="480"/>
  <c r="G91" i="480"/>
  <c r="F91" i="480"/>
  <c r="E91" i="480"/>
  <c r="G90" i="480"/>
  <c r="F90" i="480"/>
  <c r="E90" i="480"/>
  <c r="G89" i="480"/>
  <c r="F89" i="480"/>
  <c r="E89" i="480"/>
  <c r="G88" i="480"/>
  <c r="F88" i="480"/>
  <c r="E88" i="480"/>
  <c r="G87" i="480"/>
  <c r="F87" i="480"/>
  <c r="E87" i="480"/>
  <c r="G86" i="480"/>
  <c r="F86" i="480"/>
  <c r="E86" i="480"/>
  <c r="G85" i="480"/>
  <c r="F85" i="480"/>
  <c r="E85" i="480"/>
  <c r="G84" i="480"/>
  <c r="F84" i="480"/>
  <c r="E84" i="480"/>
  <c r="G83" i="480"/>
  <c r="F83" i="480"/>
  <c r="E83" i="480"/>
  <c r="G82" i="480"/>
  <c r="F82" i="480"/>
  <c r="E82" i="480"/>
  <c r="G81" i="480"/>
  <c r="F81" i="480"/>
  <c r="E81" i="480"/>
  <c r="G80" i="480"/>
  <c r="F80" i="480"/>
  <c r="E80" i="480"/>
  <c r="G79" i="480"/>
  <c r="F79" i="480"/>
  <c r="E79" i="480"/>
  <c r="G78" i="480"/>
  <c r="F78" i="480"/>
  <c r="E78" i="480"/>
  <c r="G77" i="480"/>
  <c r="F77" i="480"/>
  <c r="E77" i="480"/>
  <c r="G76" i="480"/>
  <c r="F76" i="480"/>
  <c r="E76" i="480"/>
  <c r="G75" i="480"/>
  <c r="F75" i="480"/>
  <c r="E75" i="480"/>
  <c r="G74" i="480"/>
  <c r="F74" i="480"/>
  <c r="E74" i="480"/>
  <c r="G73" i="480"/>
  <c r="F73" i="480"/>
  <c r="E73" i="480"/>
  <c r="G72" i="480"/>
  <c r="F72" i="480"/>
  <c r="E72" i="480"/>
  <c r="G71" i="480"/>
  <c r="F71" i="480"/>
  <c r="E71" i="480"/>
  <c r="G70" i="480"/>
  <c r="F70" i="480"/>
  <c r="E70" i="480"/>
  <c r="G69" i="480"/>
  <c r="F69" i="480"/>
  <c r="E69" i="480"/>
  <c r="G68" i="480"/>
  <c r="F68" i="480"/>
  <c r="E68" i="480"/>
  <c r="G67" i="480"/>
  <c r="F67" i="480"/>
  <c r="E67" i="480"/>
  <c r="G66" i="480"/>
  <c r="F66" i="480"/>
  <c r="E66" i="480"/>
  <c r="G65" i="480"/>
  <c r="F65" i="480"/>
  <c r="E65" i="480"/>
  <c r="G64" i="480"/>
  <c r="F64" i="480"/>
  <c r="E64" i="480"/>
  <c r="G63" i="480"/>
  <c r="F63" i="480"/>
  <c r="E63" i="480"/>
  <c r="G62" i="480"/>
  <c r="F62" i="480"/>
  <c r="E62" i="480"/>
  <c r="G61" i="480"/>
  <c r="F61" i="480"/>
  <c r="E61" i="480"/>
  <c r="G60" i="480"/>
  <c r="F60" i="480"/>
  <c r="E60" i="480"/>
  <c r="G59" i="480"/>
  <c r="F59" i="480"/>
  <c r="E59" i="480"/>
  <c r="G58" i="480"/>
  <c r="F58" i="480"/>
  <c r="E58" i="480"/>
  <c r="G57" i="480"/>
  <c r="F57" i="480"/>
  <c r="E57" i="480"/>
  <c r="G56" i="480"/>
  <c r="F56" i="480"/>
  <c r="E56" i="480"/>
  <c r="G55" i="480"/>
  <c r="F55" i="480"/>
  <c r="E55" i="480"/>
  <c r="G54" i="480"/>
  <c r="F54" i="480"/>
  <c r="E54" i="480"/>
  <c r="J81" i="462" l="1"/>
  <c r="K81" i="462"/>
  <c r="L81" i="462"/>
  <c r="M81" i="462"/>
  <c r="N81" i="462"/>
  <c r="O81" i="462"/>
  <c r="P81" i="462"/>
  <c r="Q81" i="462"/>
  <c r="R81" i="462"/>
  <c r="S81" i="462"/>
  <c r="T81" i="462"/>
  <c r="U81" i="462"/>
  <c r="V81" i="462"/>
  <c r="I81" i="462"/>
  <c r="E115" i="480"/>
  <c r="F115" i="480"/>
  <c r="G115" i="480"/>
  <c r="J122" i="480" l="1"/>
  <c r="V118" i="480" l="1"/>
  <c r="G118" i="480"/>
  <c r="F118" i="480"/>
  <c r="E118" i="480"/>
  <c r="V117" i="480"/>
  <c r="G117" i="480"/>
  <c r="F117" i="480"/>
  <c r="E117" i="480"/>
  <c r="V116" i="480"/>
  <c r="G116" i="480"/>
  <c r="F116" i="480"/>
  <c r="E116" i="480"/>
  <c r="V115" i="480"/>
  <c r="V114" i="480"/>
  <c r="G114" i="480"/>
  <c r="F114" i="480"/>
  <c r="E114" i="480"/>
  <c r="V113" i="480"/>
  <c r="G113" i="480"/>
  <c r="F113" i="480"/>
  <c r="E113" i="480"/>
  <c r="V112" i="480"/>
  <c r="G112" i="480"/>
  <c r="F112" i="480"/>
  <c r="E112" i="480"/>
  <c r="V111" i="480"/>
  <c r="G111" i="480"/>
  <c r="F111" i="480"/>
  <c r="E111" i="480"/>
  <c r="V110" i="480"/>
  <c r="G110" i="480"/>
  <c r="F110" i="480"/>
  <c r="E110" i="480"/>
  <c r="V109" i="480"/>
  <c r="G109" i="480"/>
  <c r="F109" i="480"/>
  <c r="E109" i="480"/>
  <c r="V108" i="480"/>
  <c r="G108" i="480"/>
  <c r="F108" i="480"/>
  <c r="E108" i="480"/>
  <c r="F233" i="490"/>
  <c r="E3" i="480"/>
  <c r="G119" i="480"/>
  <c r="F119" i="480"/>
  <c r="E119" i="480"/>
  <c r="G107" i="480"/>
  <c r="F107" i="480"/>
  <c r="E107" i="480"/>
  <c r="G106" i="480"/>
  <c r="F106" i="480"/>
  <c r="E106" i="480"/>
  <c r="G105" i="480"/>
  <c r="F105" i="480"/>
  <c r="E105" i="480"/>
  <c r="G53" i="480"/>
  <c r="F53" i="480"/>
  <c r="E53" i="480"/>
  <c r="G52" i="480"/>
  <c r="F52" i="480"/>
  <c r="E52" i="480"/>
  <c r="G51" i="480"/>
  <c r="F51" i="480"/>
  <c r="E51" i="480"/>
  <c r="G50" i="480"/>
  <c r="F50" i="480"/>
  <c r="E50" i="480"/>
  <c r="G49" i="480"/>
  <c r="F49" i="480"/>
  <c r="E49" i="480"/>
  <c r="G48" i="480"/>
  <c r="F48" i="480"/>
  <c r="E48" i="480"/>
  <c r="G47" i="480"/>
  <c r="F47" i="480"/>
  <c r="E47" i="480"/>
  <c r="G46" i="480"/>
  <c r="F46" i="480"/>
  <c r="E46" i="480"/>
  <c r="G45" i="480"/>
  <c r="F45" i="480"/>
  <c r="E45" i="480"/>
  <c r="G44" i="480"/>
  <c r="F44" i="480"/>
  <c r="E44" i="480"/>
  <c r="G43" i="480"/>
  <c r="F43" i="480"/>
  <c r="E43" i="480"/>
  <c r="G42" i="480"/>
  <c r="F42" i="480"/>
  <c r="E42" i="480"/>
  <c r="G41" i="480"/>
  <c r="F41" i="480"/>
  <c r="E41" i="480"/>
  <c r="G40" i="480"/>
  <c r="F40" i="480"/>
  <c r="E40" i="480"/>
  <c r="G39" i="480"/>
  <c r="F39" i="480"/>
  <c r="E39" i="480"/>
  <c r="G38" i="480"/>
  <c r="F38" i="480"/>
  <c r="E38" i="480"/>
  <c r="G37" i="480"/>
  <c r="F37" i="480"/>
  <c r="E37" i="480"/>
  <c r="G36" i="480"/>
  <c r="F36" i="480"/>
  <c r="E36" i="480"/>
  <c r="G35" i="480"/>
  <c r="F35" i="480"/>
  <c r="E35" i="480"/>
  <c r="G34" i="480"/>
  <c r="F34" i="480"/>
  <c r="E34" i="480"/>
  <c r="G33" i="480"/>
  <c r="F33" i="480"/>
  <c r="E33" i="480"/>
  <c r="G32" i="480"/>
  <c r="F32" i="480"/>
  <c r="E32" i="480"/>
  <c r="G31" i="480"/>
  <c r="F31" i="480"/>
  <c r="E31" i="480"/>
  <c r="G30" i="480"/>
  <c r="F30" i="480"/>
  <c r="E30" i="480"/>
  <c r="G29" i="480"/>
  <c r="F29" i="480"/>
  <c r="E29" i="480"/>
  <c r="G28" i="480"/>
  <c r="F28" i="480"/>
  <c r="E28" i="480"/>
  <c r="G27" i="480"/>
  <c r="F27" i="480"/>
  <c r="E27" i="480"/>
  <c r="G26" i="480"/>
  <c r="F26" i="480"/>
  <c r="E26" i="480"/>
  <c r="G25" i="480"/>
  <c r="F25" i="480"/>
  <c r="E25" i="480"/>
  <c r="G24" i="480"/>
  <c r="F24" i="480"/>
  <c r="E24" i="480"/>
  <c r="G23" i="480"/>
  <c r="F23" i="480"/>
  <c r="E23" i="480"/>
  <c r="G22" i="480"/>
  <c r="F22" i="480"/>
  <c r="E22" i="480"/>
  <c r="G21" i="480"/>
  <c r="F21" i="480"/>
  <c r="E21" i="480"/>
  <c r="G20" i="480"/>
  <c r="F20" i="480"/>
  <c r="E20" i="480"/>
  <c r="G19" i="480"/>
  <c r="F19" i="480"/>
  <c r="E19" i="480"/>
  <c r="G18" i="480"/>
  <c r="F18" i="480"/>
  <c r="E18" i="480"/>
  <c r="G17" i="480"/>
  <c r="F17" i="480"/>
  <c r="E17" i="480"/>
  <c r="G16" i="480"/>
  <c r="F16" i="480"/>
  <c r="E16" i="480"/>
  <c r="G15" i="480"/>
  <c r="F15" i="480"/>
  <c r="E15" i="480"/>
  <c r="G14" i="480"/>
  <c r="F14" i="480"/>
  <c r="E14" i="480"/>
  <c r="G13" i="480"/>
  <c r="F13" i="480"/>
  <c r="E13" i="480"/>
  <c r="G12" i="480"/>
  <c r="F12" i="480"/>
  <c r="E12" i="480"/>
  <c r="G11" i="480"/>
  <c r="F11" i="480"/>
  <c r="E11" i="480"/>
  <c r="G10" i="480"/>
  <c r="F10" i="480"/>
  <c r="E10" i="480"/>
  <c r="G9" i="480"/>
  <c r="F9" i="480"/>
  <c r="E9" i="480"/>
  <c r="G8" i="480"/>
  <c r="F8" i="480"/>
  <c r="E8" i="480"/>
  <c r="G7" i="480"/>
  <c r="F7" i="480"/>
  <c r="E7" i="480"/>
  <c r="G6" i="480"/>
  <c r="F6" i="480"/>
  <c r="E6" i="480"/>
  <c r="G5" i="480"/>
  <c r="F5" i="480"/>
  <c r="E5" i="480"/>
  <c r="G4" i="480"/>
  <c r="F4" i="480"/>
  <c r="E4" i="480"/>
  <c r="G3" i="480"/>
  <c r="F3" i="480"/>
  <c r="F326" i="490"/>
  <c r="F325" i="490"/>
  <c r="F324" i="490"/>
  <c r="F323" i="490"/>
  <c r="F322" i="490"/>
  <c r="F321" i="490"/>
  <c r="F320" i="490"/>
  <c r="F319" i="490"/>
  <c r="F318" i="490"/>
  <c r="F317" i="490"/>
  <c r="F316" i="490"/>
  <c r="F315" i="490"/>
  <c r="F314" i="490"/>
  <c r="F313" i="490"/>
  <c r="F312" i="490"/>
  <c r="F311" i="490"/>
  <c r="F310" i="490"/>
  <c r="F309" i="490"/>
  <c r="F308" i="490"/>
  <c r="F307" i="490"/>
  <c r="F306" i="490"/>
  <c r="F305" i="490"/>
  <c r="F304" i="490"/>
  <c r="F303" i="490"/>
  <c r="F302" i="490"/>
  <c r="F301" i="490"/>
  <c r="F300" i="490"/>
  <c r="F299" i="490"/>
  <c r="F298" i="490"/>
  <c r="F297" i="490"/>
  <c r="F296" i="490"/>
  <c r="F295" i="490"/>
  <c r="F294" i="490"/>
  <c r="F293" i="490"/>
  <c r="F292" i="490"/>
  <c r="F291" i="490"/>
  <c r="F290" i="490"/>
  <c r="F289" i="490"/>
  <c r="F288" i="490"/>
  <c r="F287" i="490"/>
  <c r="F286" i="490"/>
  <c r="F285" i="490"/>
  <c r="F284" i="490"/>
  <c r="F283" i="490"/>
  <c r="F282" i="490"/>
  <c r="F281" i="490"/>
  <c r="F280" i="490"/>
  <c r="F279" i="490"/>
  <c r="F278" i="490"/>
  <c r="F277" i="490"/>
  <c r="F276" i="490"/>
  <c r="F275" i="490"/>
  <c r="F274" i="490"/>
  <c r="F273" i="490"/>
  <c r="F272" i="490"/>
  <c r="F271" i="490"/>
  <c r="F270" i="490"/>
  <c r="F269" i="490"/>
  <c r="F268" i="490"/>
  <c r="F267" i="490"/>
  <c r="F266" i="490"/>
  <c r="F265" i="490"/>
  <c r="F264" i="490"/>
  <c r="F263" i="490"/>
  <c r="F262" i="490"/>
  <c r="F261" i="490"/>
  <c r="F260" i="490"/>
  <c r="F259" i="490"/>
  <c r="F258" i="490"/>
  <c r="F257" i="490"/>
  <c r="F256" i="490"/>
  <c r="F255" i="490"/>
  <c r="F254" i="490"/>
  <c r="F253" i="490"/>
  <c r="F252" i="490"/>
  <c r="F250" i="490"/>
  <c r="F249" i="490"/>
  <c r="F248" i="490"/>
  <c r="F247" i="490"/>
  <c r="F246" i="490"/>
  <c r="F245" i="490"/>
  <c r="F244" i="490"/>
  <c r="F241" i="490"/>
  <c r="F240" i="490"/>
  <c r="F239" i="490"/>
  <c r="F238" i="490"/>
  <c r="F237" i="490"/>
  <c r="F236" i="490"/>
  <c r="F235" i="490"/>
  <c r="F234" i="490"/>
  <c r="F232" i="490"/>
  <c r="F231" i="490"/>
  <c r="F230" i="490"/>
  <c r="F229" i="490"/>
  <c r="F228" i="490"/>
  <c r="F227" i="490"/>
  <c r="F226" i="490"/>
  <c r="F225" i="490"/>
  <c r="F224" i="490"/>
  <c r="F223" i="490"/>
  <c r="F222" i="490"/>
  <c r="F221" i="490"/>
  <c r="F220" i="490"/>
  <c r="F219" i="490"/>
  <c r="F218" i="490"/>
  <c r="F217" i="490"/>
  <c r="F216" i="490"/>
  <c r="F215" i="490"/>
  <c r="F214" i="490"/>
  <c r="F213" i="490"/>
  <c r="F212" i="490"/>
  <c r="F211" i="490"/>
  <c r="F210" i="490"/>
  <c r="F209" i="490"/>
  <c r="F208" i="490"/>
  <c r="F207" i="490"/>
  <c r="F206" i="490"/>
  <c r="F205" i="490"/>
  <c r="F204" i="490"/>
  <c r="F203" i="490"/>
  <c r="F202" i="490"/>
  <c r="F201" i="490"/>
  <c r="F200" i="490"/>
  <c r="F199" i="490"/>
  <c r="F197" i="490"/>
  <c r="F196" i="490"/>
  <c r="F195" i="490"/>
  <c r="F194" i="490"/>
  <c r="F193" i="490"/>
  <c r="F192" i="490"/>
  <c r="F191" i="490"/>
  <c r="F190" i="490"/>
  <c r="F189" i="490"/>
  <c r="F188" i="490"/>
  <c r="F187" i="490"/>
  <c r="F186" i="490"/>
  <c r="F185" i="490"/>
  <c r="F184" i="490"/>
  <c r="F183" i="490"/>
  <c r="F182" i="490"/>
  <c r="F181" i="490"/>
  <c r="F180" i="490"/>
  <c r="F179" i="490"/>
  <c r="F178" i="490"/>
  <c r="F177" i="490"/>
  <c r="F176" i="490"/>
  <c r="F175" i="490"/>
  <c r="F174" i="490"/>
  <c r="F173" i="490"/>
  <c r="F172" i="490"/>
  <c r="F171" i="490"/>
  <c r="F170" i="490"/>
  <c r="F169" i="490"/>
  <c r="F168" i="490"/>
  <c r="F167" i="490"/>
  <c r="F166" i="490"/>
  <c r="F165" i="490"/>
  <c r="F164" i="490"/>
  <c r="F163" i="490"/>
  <c r="F162" i="490"/>
  <c r="F161" i="490"/>
  <c r="F160" i="490"/>
  <c r="F159" i="490"/>
  <c r="F158" i="490"/>
  <c r="F157" i="490"/>
  <c r="F156" i="490"/>
  <c r="F155" i="490"/>
  <c r="F154" i="490"/>
  <c r="F153" i="490"/>
  <c r="F152" i="490"/>
  <c r="F151" i="490"/>
  <c r="F150" i="490"/>
  <c r="F149" i="490"/>
  <c r="F148" i="490"/>
  <c r="F147" i="490"/>
  <c r="F146" i="490"/>
  <c r="F145" i="490"/>
  <c r="F144" i="490"/>
  <c r="F143" i="490"/>
  <c r="F142" i="490"/>
  <c r="F141" i="490"/>
  <c r="F140" i="490"/>
  <c r="F139" i="490"/>
  <c r="F138" i="490"/>
  <c r="F137" i="490"/>
  <c r="F136" i="490"/>
  <c r="F135" i="490"/>
  <c r="F134" i="490"/>
  <c r="F133" i="490"/>
  <c r="F132" i="490"/>
  <c r="F131" i="490"/>
  <c r="F130" i="490"/>
  <c r="F129" i="490"/>
  <c r="F128" i="490"/>
  <c r="F127" i="490"/>
  <c r="F126" i="490"/>
  <c r="F125" i="490"/>
  <c r="F124" i="490"/>
  <c r="F123" i="490"/>
  <c r="F122" i="490"/>
  <c r="F121" i="490"/>
  <c r="F120" i="490"/>
  <c r="F119" i="490"/>
  <c r="F118" i="490"/>
  <c r="F117" i="490"/>
  <c r="F116" i="490"/>
  <c r="F115" i="490"/>
  <c r="F114" i="490"/>
  <c r="F113" i="490"/>
  <c r="F112" i="490"/>
  <c r="F111" i="490"/>
  <c r="F110" i="490"/>
  <c r="F109" i="490"/>
  <c r="F108" i="490"/>
  <c r="F107" i="490"/>
  <c r="F106" i="490"/>
  <c r="F105" i="490"/>
  <c r="F104" i="490"/>
  <c r="F103" i="490"/>
  <c r="F102" i="490"/>
  <c r="F101" i="490"/>
  <c r="F100" i="490"/>
  <c r="F99" i="490"/>
  <c r="F98" i="490"/>
  <c r="F97" i="490"/>
  <c r="F96" i="490"/>
  <c r="F95" i="490"/>
  <c r="F94" i="490"/>
  <c r="F93" i="490"/>
  <c r="F92" i="490"/>
  <c r="F91" i="490"/>
  <c r="F90" i="490"/>
  <c r="F89" i="490"/>
  <c r="F88" i="490"/>
  <c r="F86" i="490"/>
  <c r="F85" i="490"/>
  <c r="F84" i="490"/>
  <c r="F83" i="490"/>
  <c r="F82" i="490"/>
  <c r="F81" i="490"/>
  <c r="F80" i="490"/>
  <c r="F79" i="490"/>
  <c r="F78" i="490"/>
  <c r="F77" i="490"/>
  <c r="F76" i="490"/>
  <c r="F75" i="490"/>
  <c r="F74" i="490"/>
  <c r="F73" i="490"/>
  <c r="F72" i="490"/>
  <c r="F71" i="490"/>
  <c r="F70" i="490"/>
  <c r="F69" i="490"/>
  <c r="F68" i="490"/>
  <c r="F67" i="490"/>
  <c r="F66" i="490"/>
  <c r="F65" i="490"/>
  <c r="F64" i="490"/>
  <c r="F63" i="490"/>
  <c r="F62" i="490"/>
  <c r="F61" i="490"/>
  <c r="F60" i="490"/>
  <c r="F59" i="490"/>
  <c r="F58" i="490"/>
  <c r="F57" i="490"/>
  <c r="F56" i="490"/>
  <c r="F55" i="490"/>
  <c r="F54" i="490"/>
  <c r="F53" i="490"/>
  <c r="F52" i="490"/>
  <c r="F51" i="490"/>
  <c r="F50" i="490"/>
  <c r="F49" i="490"/>
  <c r="F48" i="490"/>
  <c r="F47" i="490"/>
  <c r="F46" i="490"/>
  <c r="F45" i="490"/>
  <c r="F44" i="490"/>
  <c r="F43" i="490"/>
  <c r="F42" i="490"/>
  <c r="F41" i="490"/>
  <c r="F40" i="490"/>
  <c r="F39" i="490"/>
  <c r="F38" i="490"/>
  <c r="F37" i="490"/>
  <c r="F36" i="490"/>
  <c r="F35" i="490"/>
  <c r="F34" i="490"/>
  <c r="F33" i="490"/>
  <c r="F32" i="490"/>
  <c r="F31" i="490"/>
  <c r="F30" i="490"/>
  <c r="F29" i="490"/>
  <c r="F28" i="490"/>
  <c r="F27" i="490"/>
  <c r="F26" i="490"/>
  <c r="F25" i="490"/>
  <c r="F24" i="490"/>
  <c r="F23" i="490"/>
  <c r="F22" i="490"/>
  <c r="F21" i="490"/>
  <c r="F20" i="490"/>
  <c r="F19" i="490"/>
  <c r="F18" i="490"/>
  <c r="F17" i="490"/>
  <c r="F16" i="490"/>
  <c r="F15" i="490"/>
  <c r="F14" i="490"/>
  <c r="F13" i="490"/>
  <c r="F12" i="490"/>
  <c r="F11" i="490"/>
  <c r="F10" i="490"/>
  <c r="F9" i="490"/>
  <c r="F8" i="490"/>
  <c r="F7" i="490"/>
  <c r="F6" i="490"/>
  <c r="F5" i="490"/>
  <c r="F4" i="490"/>
  <c r="F3" i="490"/>
  <c r="F2" i="490"/>
  <c r="V81" i="480" l="1"/>
  <c r="V79" i="480"/>
  <c r="V78" i="480"/>
  <c r="V77" i="480"/>
  <c r="V76" i="480"/>
  <c r="V75" i="480"/>
  <c r="V74" i="480"/>
  <c r="V73" i="480"/>
  <c r="V72" i="480"/>
  <c r="V71" i="480"/>
  <c r="V70" i="480"/>
  <c r="V69" i="480"/>
  <c r="V68" i="480"/>
  <c r="V67" i="480"/>
  <c r="V66" i="480"/>
  <c r="V65" i="480"/>
  <c r="V64" i="480"/>
  <c r="V63" i="480"/>
  <c r="V62" i="480"/>
  <c r="V61" i="480"/>
  <c r="V60" i="480"/>
  <c r="V59" i="480"/>
  <c r="V17" i="480" l="1"/>
  <c r="V10" i="480"/>
  <c r="I16" i="481" l="1"/>
  <c r="L14" i="481"/>
  <c r="D14" i="481"/>
  <c r="I7" i="481"/>
  <c r="I8" i="481" s="1"/>
  <c r="I9" i="481" s="1"/>
  <c r="A7" i="481"/>
  <c r="A10" i="481" s="1"/>
  <c r="A13" i="481" s="1"/>
  <c r="U139" i="480"/>
  <c r="T139" i="480"/>
  <c r="R139" i="480"/>
  <c r="Q139" i="480"/>
  <c r="P139" i="480"/>
  <c r="O139" i="480"/>
  <c r="N139" i="480"/>
  <c r="M139" i="480"/>
  <c r="L139" i="480"/>
  <c r="K139" i="480"/>
  <c r="S139" i="480"/>
  <c r="J139" i="480"/>
  <c r="U138" i="480"/>
  <c r="T138" i="480"/>
  <c r="R138" i="480"/>
  <c r="Q138" i="480"/>
  <c r="P138" i="480"/>
  <c r="O138" i="480"/>
  <c r="N138" i="480"/>
  <c r="M138" i="480"/>
  <c r="L138" i="480"/>
  <c r="K138" i="480"/>
  <c r="S138" i="480"/>
  <c r="J138" i="480"/>
  <c r="I138" i="480"/>
  <c r="T122" i="480"/>
  <c r="T125" i="480" s="1"/>
  <c r="R122" i="480"/>
  <c r="Q122" i="480"/>
  <c r="P122" i="480"/>
  <c r="O122" i="480"/>
  <c r="N122" i="480"/>
  <c r="M122" i="480"/>
  <c r="L122" i="480"/>
  <c r="K122" i="480"/>
  <c r="S122" i="480"/>
  <c r="B122" i="480"/>
  <c r="V120" i="480"/>
  <c r="V119" i="480"/>
  <c r="V107" i="480"/>
  <c r="V106" i="480"/>
  <c r="V105" i="480"/>
  <c r="V104" i="480"/>
  <c r="V103" i="480"/>
  <c r="V102" i="480"/>
  <c r="V101" i="480"/>
  <c r="V100" i="480"/>
  <c r="V99" i="480"/>
  <c r="V98" i="480"/>
  <c r="V97" i="480"/>
  <c r="V96" i="480"/>
  <c r="V95" i="480"/>
  <c r="V94" i="480"/>
  <c r="V93" i="480"/>
  <c r="V92" i="480"/>
  <c r="V91" i="480"/>
  <c r="V90" i="480"/>
  <c r="V89" i="480"/>
  <c r="V88" i="480"/>
  <c r="V87" i="480"/>
  <c r="V86" i="480"/>
  <c r="V85" i="480"/>
  <c r="V84" i="480"/>
  <c r="V83" i="480"/>
  <c r="V82" i="480"/>
  <c r="V58" i="480"/>
  <c r="V57" i="480"/>
  <c r="V56" i="480"/>
  <c r="V55" i="480"/>
  <c r="V54" i="480"/>
  <c r="V53" i="480"/>
  <c r="V52" i="480"/>
  <c r="V51" i="480"/>
  <c r="V50" i="480"/>
  <c r="V49" i="480"/>
  <c r="V48" i="480"/>
  <c r="V47" i="480"/>
  <c r="V46" i="480"/>
  <c r="V45" i="480"/>
  <c r="V44" i="480"/>
  <c r="V43" i="480"/>
  <c r="V42" i="480"/>
  <c r="V41" i="480"/>
  <c r="V40" i="480"/>
  <c r="V39" i="480"/>
  <c r="V38" i="480"/>
  <c r="V37" i="480"/>
  <c r="V36" i="480"/>
  <c r="V35" i="480"/>
  <c r="V34" i="480"/>
  <c r="V33" i="480"/>
  <c r="V32" i="480"/>
  <c r="V31" i="480"/>
  <c r="V30" i="480"/>
  <c r="V29" i="480"/>
  <c r="V28" i="480"/>
  <c r="V27" i="480"/>
  <c r="V26" i="480"/>
  <c r="V25" i="480"/>
  <c r="V24" i="480"/>
  <c r="V21" i="480"/>
  <c r="V23" i="480"/>
  <c r="V22" i="480"/>
  <c r="V20" i="480"/>
  <c r="V19" i="480"/>
  <c r="V18" i="480"/>
  <c r="V16" i="480"/>
  <c r="V15" i="480"/>
  <c r="V14" i="480"/>
  <c r="V13" i="480"/>
  <c r="V12" i="480"/>
  <c r="V11" i="480"/>
  <c r="V9" i="480"/>
  <c r="V8" i="480"/>
  <c r="V7" i="480"/>
  <c r="V6" i="480"/>
  <c r="V5" i="480"/>
  <c r="V4" i="480"/>
  <c r="V3" i="480"/>
  <c r="O14" i="481" l="1"/>
  <c r="O15" i="481" s="1"/>
  <c r="I12" i="481"/>
  <c r="I10" i="481"/>
  <c r="I13" i="481" s="1"/>
  <c r="I11" i="481"/>
  <c r="A8" i="481"/>
  <c r="V138" i="480"/>
  <c r="V136" i="480" s="1"/>
  <c r="A11" i="481" l="1"/>
  <c r="A9" i="481"/>
  <c r="A12" i="481" s="1"/>
  <c r="R18" i="327" l="1"/>
  <c r="A7" i="391"/>
  <c r="A8" i="391" s="1"/>
  <c r="A9" i="391" s="1"/>
  <c r="A12" i="391" s="1"/>
  <c r="D14" i="391"/>
  <c r="Q18" i="327"/>
  <c r="S18" i="327"/>
  <c r="T18" i="327"/>
  <c r="U18" i="327"/>
  <c r="V18" i="327"/>
  <c r="W18" i="327"/>
  <c r="X18" i="327"/>
  <c r="A10" i="391" l="1"/>
  <c r="A13" i="391" s="1"/>
  <c r="A11" i="391"/>
  <c r="I122" i="480" l="1"/>
  <c r="I139" i="480"/>
  <c r="V80" i="480"/>
  <c r="V122" i="480" s="1"/>
  <c r="V139" i="480"/>
</calcChain>
</file>

<file path=xl/sharedStrings.xml><?xml version="1.0" encoding="utf-8"?>
<sst xmlns="http://schemas.openxmlformats.org/spreadsheetml/2006/main" count="1677" uniqueCount="638">
  <si>
    <t>봉사회</t>
  </si>
  <si>
    <t>어머니회</t>
  </si>
  <si>
    <t>3*</t>
  </si>
  <si>
    <t>4*</t>
  </si>
  <si>
    <t>5*</t>
  </si>
  <si>
    <t>6*</t>
  </si>
  <si>
    <t>7*</t>
  </si>
  <si>
    <t>8*</t>
  </si>
  <si>
    <t>9*</t>
  </si>
  <si>
    <t>10*</t>
  </si>
  <si>
    <t>11*</t>
  </si>
  <si>
    <t>12*</t>
  </si>
  <si>
    <t>13*</t>
  </si>
  <si>
    <t>14*</t>
  </si>
  <si>
    <t>15*</t>
  </si>
  <si>
    <t>16*</t>
  </si>
  <si>
    <t>17*</t>
  </si>
  <si>
    <t>18*</t>
  </si>
  <si>
    <t>19*</t>
  </si>
  <si>
    <t>20*</t>
  </si>
  <si>
    <t>21*</t>
  </si>
  <si>
    <t>22*</t>
  </si>
  <si>
    <t>23*</t>
  </si>
  <si>
    <t>24*</t>
  </si>
  <si>
    <t>은장회</t>
  </si>
  <si>
    <t>2-</t>
  </si>
  <si>
    <t>3-</t>
  </si>
  <si>
    <t>청년회</t>
  </si>
  <si>
    <t>2+</t>
  </si>
  <si>
    <t>3+</t>
  </si>
  <si>
    <t>4+</t>
  </si>
  <si>
    <t>5+</t>
  </si>
  <si>
    <t>6+</t>
  </si>
  <si>
    <t>7+</t>
  </si>
  <si>
    <t>8+</t>
  </si>
  <si>
    <t>9+</t>
  </si>
  <si>
    <t>10+</t>
  </si>
  <si>
    <t>1*</t>
  </si>
  <si>
    <t>1-</t>
  </si>
  <si>
    <t>1+</t>
  </si>
  <si>
    <t>25*</t>
  </si>
  <si>
    <t>26*</t>
  </si>
  <si>
    <t>27*</t>
  </si>
  <si>
    <t>28*</t>
  </si>
  <si>
    <t>29*</t>
  </si>
  <si>
    <t>30*</t>
  </si>
  <si>
    <t>31*</t>
  </si>
  <si>
    <t>32*</t>
  </si>
  <si>
    <t>33*</t>
  </si>
  <si>
    <t>34*</t>
  </si>
  <si>
    <t>35*</t>
  </si>
  <si>
    <t>36*</t>
  </si>
  <si>
    <t>37*</t>
  </si>
  <si>
    <t>38*</t>
  </si>
  <si>
    <t>39*</t>
  </si>
  <si>
    <t>40*</t>
  </si>
  <si>
    <t>41*</t>
  </si>
  <si>
    <t>42*</t>
  </si>
  <si>
    <t>43*</t>
  </si>
  <si>
    <t>44*</t>
  </si>
  <si>
    <t>45*</t>
  </si>
  <si>
    <t>46*</t>
  </si>
  <si>
    <t>47*</t>
  </si>
  <si>
    <t>48*</t>
  </si>
  <si>
    <t>49*</t>
  </si>
  <si>
    <t>50*</t>
  </si>
  <si>
    <t>51*</t>
  </si>
  <si>
    <t>52*</t>
  </si>
  <si>
    <t>53*</t>
  </si>
  <si>
    <t>54*</t>
  </si>
  <si>
    <t>55*</t>
  </si>
  <si>
    <t>56*</t>
  </si>
  <si>
    <t>57*</t>
  </si>
  <si>
    <t>58*</t>
  </si>
  <si>
    <t>59*</t>
  </si>
  <si>
    <t>60*</t>
  </si>
  <si>
    <t>61*</t>
  </si>
  <si>
    <t>62*</t>
  </si>
  <si>
    <t>63*</t>
  </si>
  <si>
    <t>64*</t>
  </si>
  <si>
    <t>65*</t>
  </si>
  <si>
    <t>66*</t>
  </si>
  <si>
    <t>67*</t>
  </si>
  <si>
    <t>68*</t>
  </si>
  <si>
    <t>69*</t>
  </si>
  <si>
    <t>70*</t>
  </si>
  <si>
    <t>71*</t>
  </si>
  <si>
    <t>4-</t>
  </si>
  <si>
    <t>5-</t>
  </si>
  <si>
    <t>6-</t>
  </si>
  <si>
    <t>7-</t>
  </si>
  <si>
    <t>8-</t>
  </si>
  <si>
    <t>9-</t>
  </si>
  <si>
    <t>10-</t>
  </si>
  <si>
    <t>11-</t>
  </si>
  <si>
    <t>12-</t>
  </si>
  <si>
    <t>13-</t>
  </si>
  <si>
    <t>14-</t>
  </si>
  <si>
    <t>15-</t>
  </si>
  <si>
    <t>16-</t>
  </si>
  <si>
    <t>17-</t>
  </si>
  <si>
    <t>18-</t>
  </si>
  <si>
    <t>11+</t>
  </si>
  <si>
    <t>12+</t>
  </si>
  <si>
    <t>13+</t>
  </si>
  <si>
    <t>14+</t>
  </si>
  <si>
    <t>15+</t>
  </si>
  <si>
    <t>16+</t>
  </si>
  <si>
    <t>17+</t>
  </si>
  <si>
    <t>18+</t>
  </si>
  <si>
    <t>19+</t>
  </si>
  <si>
    <t>20+</t>
  </si>
  <si>
    <t>21+</t>
  </si>
  <si>
    <t>22+</t>
  </si>
  <si>
    <t>23+</t>
  </si>
  <si>
    <t>24+</t>
  </si>
  <si>
    <t>25+</t>
  </si>
  <si>
    <t>26+</t>
  </si>
  <si>
    <t>27+</t>
  </si>
  <si>
    <t>28+</t>
  </si>
  <si>
    <t>29+</t>
  </si>
  <si>
    <t>30+</t>
  </si>
  <si>
    <t>31+</t>
  </si>
  <si>
    <t>32+</t>
  </si>
  <si>
    <t>33+</t>
  </si>
  <si>
    <t>34+</t>
  </si>
  <si>
    <t>35+</t>
  </si>
  <si>
    <t>36+</t>
  </si>
  <si>
    <t>정선웅</t>
  </si>
  <si>
    <t>오민혁</t>
  </si>
  <si>
    <t>전진우</t>
  </si>
  <si>
    <t>김현수</t>
  </si>
  <si>
    <t>김창근</t>
  </si>
  <si>
    <t>김영수</t>
  </si>
  <si>
    <t>오민성</t>
  </si>
  <si>
    <t>전이우</t>
  </si>
  <si>
    <t>최수정</t>
  </si>
  <si>
    <t>조수자</t>
  </si>
  <si>
    <t>주경숙</t>
  </si>
  <si>
    <t>김외숙</t>
  </si>
  <si>
    <t>이문자</t>
  </si>
  <si>
    <t>김용택</t>
  </si>
  <si>
    <t>유이순</t>
  </si>
  <si>
    <t>채경원</t>
  </si>
  <si>
    <t>김숙희</t>
  </si>
  <si>
    <t>박종한</t>
  </si>
  <si>
    <t>최경숙</t>
  </si>
  <si>
    <t>최화경</t>
  </si>
  <si>
    <t>배경순</t>
  </si>
  <si>
    <t>조경식</t>
  </si>
  <si>
    <t>문소흔</t>
  </si>
  <si>
    <t>최인혁</t>
  </si>
  <si>
    <t>24-</t>
  </si>
  <si>
    <t>23-</t>
  </si>
  <si>
    <t>22-</t>
  </si>
  <si>
    <t>21-</t>
  </si>
  <si>
    <t>20-</t>
  </si>
  <si>
    <t>37+</t>
  </si>
  <si>
    <t>38+</t>
  </si>
  <si>
    <t>39+</t>
  </si>
  <si>
    <t>40+</t>
  </si>
  <si>
    <t>41+</t>
  </si>
  <si>
    <t>42+</t>
  </si>
  <si>
    <t>43+</t>
  </si>
  <si>
    <t>44+</t>
  </si>
  <si>
    <t>서주영</t>
  </si>
  <si>
    <t>45+</t>
  </si>
  <si>
    <t>46+</t>
  </si>
  <si>
    <t>47+</t>
  </si>
  <si>
    <t>48+</t>
  </si>
  <si>
    <t>49+</t>
  </si>
  <si>
    <t>19-</t>
  </si>
  <si>
    <t>노무연</t>
  </si>
  <si>
    <t>김양곤</t>
  </si>
  <si>
    <t>최난영</t>
  </si>
  <si>
    <t>최시애</t>
  </si>
  <si>
    <t>김상호</t>
  </si>
  <si>
    <t>김성임</t>
  </si>
  <si>
    <t>황윤실</t>
  </si>
  <si>
    <t>박춘련</t>
  </si>
  <si>
    <t>박경자</t>
  </si>
  <si>
    <t>서순자</t>
  </si>
  <si>
    <t>김상금</t>
  </si>
  <si>
    <t>박복남</t>
  </si>
  <si>
    <t>장재희</t>
  </si>
  <si>
    <t>서병욱</t>
  </si>
  <si>
    <t>김주현</t>
  </si>
  <si>
    <t>양인수</t>
  </si>
  <si>
    <t>김성권</t>
  </si>
  <si>
    <t>최정희</t>
  </si>
  <si>
    <t>안선희</t>
  </si>
  <si>
    <t>이학순</t>
  </si>
  <si>
    <t>김점자</t>
  </si>
  <si>
    <t>서아름</t>
  </si>
  <si>
    <t>지솔미</t>
  </si>
  <si>
    <t>72*</t>
  </si>
  <si>
    <t>25-</t>
  </si>
  <si>
    <t>26-</t>
  </si>
  <si>
    <t>27-</t>
  </si>
  <si>
    <t>28-</t>
  </si>
  <si>
    <t>29-</t>
  </si>
  <si>
    <t>30-</t>
  </si>
  <si>
    <t>김보경</t>
  </si>
  <si>
    <t>50+</t>
  </si>
  <si>
    <t>51+</t>
  </si>
  <si>
    <t>52+</t>
  </si>
  <si>
    <t>53+</t>
  </si>
  <si>
    <t>54+</t>
  </si>
  <si>
    <t>55+</t>
  </si>
  <si>
    <t>56+</t>
  </si>
  <si>
    <t>57+</t>
  </si>
  <si>
    <t>58+</t>
  </si>
  <si>
    <t>59+</t>
  </si>
  <si>
    <t>60+</t>
  </si>
  <si>
    <t>배종찬</t>
  </si>
  <si>
    <t>이지영2</t>
  </si>
  <si>
    <t>정동범</t>
  </si>
  <si>
    <t>황규진</t>
  </si>
  <si>
    <t>서종호</t>
  </si>
  <si>
    <t>김대호</t>
  </si>
  <si>
    <t>조정화</t>
  </si>
  <si>
    <t>이소미</t>
  </si>
  <si>
    <t>감애옥</t>
  </si>
  <si>
    <t>우지현</t>
  </si>
  <si>
    <t>강승윤</t>
  </si>
  <si>
    <t>김동현</t>
  </si>
  <si>
    <t>손미영</t>
  </si>
  <si>
    <t>온주란</t>
  </si>
  <si>
    <t>조은빈</t>
  </si>
  <si>
    <t>김영은</t>
  </si>
  <si>
    <t>왕혜원</t>
  </si>
  <si>
    <t>권동구</t>
  </si>
  <si>
    <t>오주홍</t>
  </si>
  <si>
    <t>김정문</t>
  </si>
  <si>
    <t>정미화</t>
  </si>
  <si>
    <t>김현숙</t>
  </si>
  <si>
    <t>이영희</t>
  </si>
  <si>
    <t>권유희</t>
  </si>
  <si>
    <t>최백숙</t>
  </si>
  <si>
    <t>서부돌</t>
  </si>
  <si>
    <t>김해은</t>
  </si>
  <si>
    <t>손창근</t>
  </si>
  <si>
    <t>서우진</t>
  </si>
  <si>
    <t>김정현</t>
  </si>
  <si>
    <t>이순애</t>
  </si>
  <si>
    <t>이은선</t>
  </si>
  <si>
    <t>김영재</t>
  </si>
  <si>
    <t>이종률</t>
  </si>
  <si>
    <t>곽상호</t>
  </si>
  <si>
    <t>민경리</t>
  </si>
  <si>
    <t>양재혁</t>
  </si>
  <si>
    <t>한연화</t>
  </si>
  <si>
    <t>문경숙</t>
  </si>
  <si>
    <t>박현숙</t>
  </si>
  <si>
    <t>이정형</t>
  </si>
  <si>
    <t>변교현</t>
  </si>
  <si>
    <t>조동주</t>
  </si>
  <si>
    <t>손정미</t>
  </si>
  <si>
    <t>김호선</t>
  </si>
  <si>
    <t>한연수</t>
  </si>
  <si>
    <t>이태현</t>
  </si>
  <si>
    <t>왕준수</t>
  </si>
  <si>
    <t>이영준</t>
  </si>
  <si>
    <t>윤정훈</t>
  </si>
  <si>
    <t>임기화</t>
  </si>
  <si>
    <t>안경희</t>
  </si>
  <si>
    <t>조은지</t>
  </si>
  <si>
    <t>전민지</t>
  </si>
  <si>
    <t>박선경</t>
  </si>
  <si>
    <t>박원배</t>
  </si>
  <si>
    <t>송근식</t>
  </si>
  <si>
    <t>서금자</t>
  </si>
  <si>
    <t>임정숙</t>
  </si>
  <si>
    <t>김선희</t>
  </si>
  <si>
    <t>김연지</t>
  </si>
  <si>
    <t>우호성</t>
  </si>
  <si>
    <t>서다혜</t>
  </si>
  <si>
    <t>황보혜</t>
  </si>
  <si>
    <t>김경아</t>
  </si>
  <si>
    <t>장수영</t>
  </si>
  <si>
    <t>조영미</t>
  </si>
  <si>
    <t>안진숙</t>
  </si>
  <si>
    <t>김정미</t>
  </si>
  <si>
    <t>김미옥</t>
  </si>
  <si>
    <t>이말연</t>
  </si>
  <si>
    <t>홍성범</t>
  </si>
  <si>
    <t>최미선</t>
  </si>
  <si>
    <t>엽진숙</t>
  </si>
  <si>
    <t>구민숙</t>
  </si>
  <si>
    <t>백종애</t>
  </si>
  <si>
    <t>정영희</t>
  </si>
  <si>
    <t>송영화</t>
  </si>
  <si>
    <t>하화자</t>
  </si>
  <si>
    <t>김옥례</t>
  </si>
  <si>
    <t>손경희</t>
  </si>
  <si>
    <t>이영순</t>
  </si>
  <si>
    <t>박점숙</t>
  </si>
  <si>
    <t>박미옥</t>
  </si>
  <si>
    <t>김민경</t>
  </si>
  <si>
    <t>서순희</t>
  </si>
  <si>
    <t>장정이</t>
  </si>
  <si>
    <t>박하나</t>
  </si>
  <si>
    <t>이순영</t>
  </si>
  <si>
    <t>배윤하</t>
  </si>
  <si>
    <t>윤영희</t>
  </si>
  <si>
    <t>오은경</t>
  </si>
  <si>
    <t>손미숙</t>
  </si>
  <si>
    <t>이지영1</t>
  </si>
  <si>
    <t>나효심</t>
  </si>
  <si>
    <t>최미영</t>
  </si>
  <si>
    <t>배미숙</t>
  </si>
  <si>
    <t>이미화</t>
  </si>
  <si>
    <t>양은형</t>
  </si>
  <si>
    <t>한상미</t>
  </si>
  <si>
    <t>정종순</t>
  </si>
  <si>
    <t>이수연</t>
  </si>
  <si>
    <t>노증미</t>
  </si>
  <si>
    <t>유애지</t>
  </si>
  <si>
    <t>진봉덕</t>
  </si>
  <si>
    <t>73*</t>
  </si>
  <si>
    <t>74*</t>
  </si>
  <si>
    <t>75*</t>
  </si>
  <si>
    <t>76*</t>
  </si>
  <si>
    <t>77*</t>
  </si>
  <si>
    <t>78*</t>
  </si>
  <si>
    <t>79*</t>
  </si>
  <si>
    <t>80*</t>
  </si>
  <si>
    <t>81*</t>
  </si>
  <si>
    <t>82*</t>
  </si>
  <si>
    <t>83*</t>
  </si>
  <si>
    <t>84*</t>
  </si>
  <si>
    <t>85*</t>
  </si>
  <si>
    <t>86*</t>
  </si>
  <si>
    <t>김형신</t>
  </si>
  <si>
    <t>양현직</t>
  </si>
  <si>
    <t>이승목</t>
  </si>
  <si>
    <t>서일환</t>
  </si>
  <si>
    <t>김종웅</t>
  </si>
  <si>
    <t>박성찬</t>
  </si>
  <si>
    <t>장승호</t>
  </si>
  <si>
    <t>임준석</t>
  </si>
  <si>
    <t>김세문</t>
  </si>
  <si>
    <t>오창열</t>
  </si>
  <si>
    <t>이흥삼</t>
  </si>
  <si>
    <t>조재근</t>
  </si>
  <si>
    <t>조정환</t>
  </si>
  <si>
    <t>김삼중</t>
  </si>
  <si>
    <t>우경태</t>
  </si>
  <si>
    <t>전쾌수</t>
  </si>
  <si>
    <t>정민구</t>
  </si>
  <si>
    <t>황상진</t>
  </si>
  <si>
    <t>김재홍</t>
  </si>
  <si>
    <t>이희출</t>
  </si>
  <si>
    <t>하종구</t>
  </si>
  <si>
    <t>손정한</t>
  </si>
  <si>
    <t>우명호</t>
  </si>
  <si>
    <t>채병연</t>
  </si>
  <si>
    <t>이석찬</t>
  </si>
  <si>
    <t>이병래</t>
  </si>
  <si>
    <t>임용열</t>
  </si>
  <si>
    <t>전병철</t>
  </si>
  <si>
    <t>최준서</t>
  </si>
  <si>
    <t>김성령</t>
  </si>
  <si>
    <t>김형석</t>
  </si>
  <si>
    <t>서동진</t>
  </si>
  <si>
    <t>왕순철</t>
  </si>
  <si>
    <t>윤경일</t>
  </si>
  <si>
    <t>31-</t>
  </si>
  <si>
    <t>32-</t>
  </si>
  <si>
    <t>33-</t>
  </si>
  <si>
    <t>35-</t>
  </si>
  <si>
    <r>
      <rPr>
        <b/>
        <sz val="11"/>
        <color indexed="8"/>
        <rFont val="맑은 고딕"/>
        <family val="3"/>
        <charset val="129"/>
      </rPr>
      <t>날</t>
    </r>
    <r>
      <rPr>
        <b/>
        <sz val="11"/>
        <color indexed="8"/>
        <rFont val="Arial"/>
        <family val="2"/>
      </rPr>
      <t xml:space="preserve">   </t>
    </r>
    <r>
      <rPr>
        <b/>
        <sz val="11"/>
        <color indexed="8"/>
        <rFont val="맑은 고딕"/>
        <family val="3"/>
        <charset val="129"/>
      </rPr>
      <t>짜</t>
    </r>
    <phoneticPr fontId="2" type="noConversion"/>
  </si>
  <si>
    <r>
      <rPr>
        <b/>
        <sz val="11"/>
        <color indexed="8"/>
        <rFont val="맑은 고딕"/>
        <family val="3"/>
        <charset val="129"/>
      </rPr>
      <t>월</t>
    </r>
    <phoneticPr fontId="2" type="noConversion"/>
  </si>
  <si>
    <r>
      <rPr>
        <b/>
        <sz val="11"/>
        <rFont val="맑은 고딕"/>
        <family val="3"/>
        <charset val="129"/>
      </rPr>
      <t>봉투
번호</t>
    </r>
    <phoneticPr fontId="2" type="noConversion"/>
  </si>
  <si>
    <r>
      <rPr>
        <b/>
        <sz val="11"/>
        <rFont val="맑은 고딕"/>
        <family val="3"/>
        <charset val="129"/>
      </rPr>
      <t>이</t>
    </r>
    <r>
      <rPr>
        <b/>
        <sz val="11"/>
        <rFont val="Arial"/>
        <family val="2"/>
      </rPr>
      <t xml:space="preserve">  </t>
    </r>
    <r>
      <rPr>
        <b/>
        <sz val="11"/>
        <rFont val="맑은 고딕"/>
        <family val="3"/>
        <charset val="129"/>
      </rPr>
      <t>름</t>
    </r>
    <phoneticPr fontId="2" type="noConversion"/>
  </si>
  <si>
    <r>
      <rPr>
        <b/>
        <sz val="11"/>
        <rFont val="맑은 고딕"/>
        <family val="3"/>
        <charset val="129"/>
      </rPr>
      <t>회</t>
    </r>
    <r>
      <rPr>
        <b/>
        <sz val="11"/>
        <rFont val="Arial"/>
        <family val="2"/>
      </rPr>
      <t xml:space="preserve"> </t>
    </r>
    <r>
      <rPr>
        <b/>
        <sz val="11"/>
        <rFont val="맑은 고딕"/>
        <family val="3"/>
        <charset val="129"/>
      </rPr>
      <t>별</t>
    </r>
    <phoneticPr fontId="2" type="noConversion"/>
  </si>
  <si>
    <r>
      <rPr>
        <b/>
        <sz val="11"/>
        <rFont val="맑은 고딕"/>
        <family val="3"/>
        <charset val="129"/>
      </rPr>
      <t>구역</t>
    </r>
    <phoneticPr fontId="2" type="noConversion"/>
  </si>
  <si>
    <r>
      <rPr>
        <b/>
        <sz val="11"/>
        <rFont val="맑은 고딕"/>
        <family val="3"/>
        <charset val="129"/>
      </rPr>
      <t xml:space="preserve">집회헌금
</t>
    </r>
    <r>
      <rPr>
        <b/>
        <sz val="11"/>
        <rFont val="Arial"/>
        <family val="2"/>
      </rPr>
      <t>(11400)</t>
    </r>
    <phoneticPr fontId="3" type="noConversion"/>
  </si>
  <si>
    <r>
      <rPr>
        <b/>
        <sz val="11"/>
        <rFont val="맑은 고딕"/>
        <family val="3"/>
        <charset val="129"/>
      </rPr>
      <t xml:space="preserve">감사헌금
</t>
    </r>
    <r>
      <rPr>
        <b/>
        <sz val="11"/>
        <rFont val="Arial"/>
        <family val="2"/>
      </rPr>
      <t>(11100)</t>
    </r>
    <phoneticPr fontId="3" type="noConversion"/>
  </si>
  <si>
    <r>
      <rPr>
        <b/>
        <sz val="11"/>
        <rFont val="맑은 고딕"/>
        <family val="3"/>
        <charset val="129"/>
      </rPr>
      <t xml:space="preserve">기타헌금
</t>
    </r>
    <r>
      <rPr>
        <b/>
        <sz val="11"/>
        <rFont val="Arial"/>
        <family val="2"/>
      </rPr>
      <t>(11500~
11999)</t>
    </r>
    <phoneticPr fontId="2" type="noConversion"/>
  </si>
  <si>
    <r>
      <rPr>
        <b/>
        <sz val="11"/>
        <rFont val="맑은 고딕"/>
        <family val="3"/>
        <charset val="129"/>
      </rPr>
      <t xml:space="preserve">건축헌금
</t>
    </r>
    <r>
      <rPr>
        <b/>
        <sz val="11"/>
        <rFont val="Arial"/>
        <family val="2"/>
      </rPr>
      <t>(11300)</t>
    </r>
    <phoneticPr fontId="3" type="noConversion"/>
  </si>
  <si>
    <r>
      <rPr>
        <b/>
        <sz val="11"/>
        <rFont val="맑은 고딕"/>
        <family val="3"/>
        <charset val="129"/>
      </rPr>
      <t xml:space="preserve">사랑의헌금
</t>
    </r>
    <r>
      <rPr>
        <b/>
        <sz val="11"/>
        <rFont val="Arial"/>
        <family val="2"/>
      </rPr>
      <t>(14000)</t>
    </r>
    <phoneticPr fontId="3" type="noConversion"/>
  </si>
  <si>
    <r>
      <rPr>
        <b/>
        <sz val="11"/>
        <rFont val="맑은 고딕"/>
        <family val="3"/>
        <charset val="129"/>
      </rPr>
      <t>비</t>
    </r>
    <r>
      <rPr>
        <b/>
        <sz val="11"/>
        <rFont val="Arial"/>
        <family val="2"/>
      </rPr>
      <t xml:space="preserve">   </t>
    </r>
    <r>
      <rPr>
        <b/>
        <sz val="11"/>
        <rFont val="맑은 고딕"/>
        <family val="3"/>
        <charset val="129"/>
      </rPr>
      <t>고</t>
    </r>
    <r>
      <rPr>
        <sz val="8"/>
        <rFont val="Tahoma"/>
        <family val="2"/>
      </rPr>
      <t/>
    </r>
    <phoneticPr fontId="2" type="noConversion"/>
  </si>
  <si>
    <r>
      <rPr>
        <b/>
        <sz val="11"/>
        <rFont val="맑은 고딕"/>
        <family val="3"/>
        <charset val="129"/>
      </rPr>
      <t>헌금</t>
    </r>
    <r>
      <rPr>
        <b/>
        <sz val="11"/>
        <rFont val="Arial"/>
        <family val="2"/>
      </rPr>
      <t xml:space="preserve"> </t>
    </r>
    <r>
      <rPr>
        <b/>
        <sz val="11"/>
        <rFont val="맑은 고딕"/>
        <family val="3"/>
        <charset val="129"/>
      </rPr>
      <t>합계</t>
    </r>
    <phoneticPr fontId="3" type="noConversion"/>
  </si>
  <si>
    <t>회 별</t>
  </si>
  <si>
    <t>총합계</t>
  </si>
  <si>
    <t>개수 : 주일헌금
(11200)</t>
  </si>
  <si>
    <t>데이터</t>
  </si>
  <si>
    <t>개수 : 십일조
(11000)</t>
  </si>
  <si>
    <t>개수 : 후원회비
(13000)</t>
  </si>
  <si>
    <t>개수 : 건축헌금
(11300)</t>
  </si>
  <si>
    <t>개수 : 선교회비
(12000)</t>
  </si>
  <si>
    <t>개수 : 사랑의헌금
(14000)</t>
  </si>
  <si>
    <t>월</t>
  </si>
  <si>
    <t>87*</t>
  </si>
  <si>
    <t>88*</t>
  </si>
  <si>
    <t>89*</t>
  </si>
  <si>
    <t>90*</t>
  </si>
  <si>
    <t>입  금  전  표</t>
    <phoneticPr fontId="19" type="noConversion"/>
  </si>
  <si>
    <t>대한예수교침례회 창원교회</t>
    <phoneticPr fontId="19" type="noConversion"/>
  </si>
  <si>
    <t>결재</t>
    <phoneticPr fontId="19" type="noConversion"/>
  </si>
  <si>
    <t>담  당</t>
    <phoneticPr fontId="19" type="noConversion"/>
  </si>
  <si>
    <t xml:space="preserve">회  계 </t>
    <phoneticPr fontId="19" type="noConversion"/>
  </si>
  <si>
    <t>회  장</t>
    <phoneticPr fontId="19" type="noConversion"/>
  </si>
  <si>
    <t>십일조</t>
    <phoneticPr fontId="16" type="noConversion"/>
  </si>
  <si>
    <t>후원회비</t>
    <phoneticPr fontId="16" type="noConversion"/>
  </si>
  <si>
    <t>선교회비</t>
    <phoneticPr fontId="16" type="noConversion"/>
  </si>
  <si>
    <t>주일헌금</t>
    <phoneticPr fontId="16" type="noConversion"/>
  </si>
  <si>
    <t>건축헌금</t>
    <phoneticPr fontId="16" type="noConversion"/>
  </si>
  <si>
    <t>사랑의헌금</t>
    <phoneticPr fontId="16" type="noConversion"/>
  </si>
  <si>
    <t>익   명</t>
    <phoneticPr fontId="16" type="noConversion"/>
  </si>
  <si>
    <t>세계선교</t>
    <phoneticPr fontId="16" type="noConversion"/>
  </si>
  <si>
    <t>입금일자</t>
  </si>
  <si>
    <t>계 정 과 목</t>
  </si>
  <si>
    <t>금  액</t>
  </si>
  <si>
    <t>비  고</t>
  </si>
  <si>
    <t>일반계정</t>
  </si>
  <si>
    <t>교회학교 후원회비</t>
  </si>
  <si>
    <t>건축헌금통장</t>
  </si>
  <si>
    <t>사랑의헌금</t>
  </si>
  <si>
    <t>선교회비</t>
  </si>
  <si>
    <t>세계선교회비</t>
  </si>
  <si>
    <t>합  계</t>
  </si>
  <si>
    <t>61+</t>
  </si>
  <si>
    <t>62+</t>
  </si>
  <si>
    <t>63+</t>
  </si>
  <si>
    <t>64+</t>
  </si>
  <si>
    <t>65+</t>
  </si>
  <si>
    <t>이체</t>
    <phoneticPr fontId="2" type="noConversion"/>
  </si>
  <si>
    <t>이체
헌금</t>
    <phoneticPr fontId="2" type="noConversion"/>
  </si>
  <si>
    <r>
      <rPr>
        <b/>
        <sz val="11"/>
        <color indexed="8"/>
        <rFont val="맑은 고딕"/>
        <family val="3"/>
        <charset val="129"/>
      </rPr>
      <t xml:space="preserve">십일조
</t>
    </r>
    <r>
      <rPr>
        <b/>
        <sz val="11"/>
        <color indexed="8"/>
        <rFont val="Arial"/>
        <family val="2"/>
      </rPr>
      <t>(11000)</t>
    </r>
    <phoneticPr fontId="3" type="noConversion"/>
  </si>
  <si>
    <r>
      <rPr>
        <b/>
        <sz val="11"/>
        <color indexed="8"/>
        <rFont val="맑은 고딕"/>
        <family val="3"/>
        <charset val="129"/>
      </rPr>
      <t xml:space="preserve">주일헌금
</t>
    </r>
    <r>
      <rPr>
        <b/>
        <sz val="11"/>
        <color indexed="8"/>
        <rFont val="Arial"/>
        <family val="2"/>
      </rPr>
      <t>(11200)</t>
    </r>
    <phoneticPr fontId="3" type="noConversion"/>
  </si>
  <si>
    <r>
      <rPr>
        <b/>
        <sz val="11"/>
        <color indexed="8"/>
        <rFont val="맑은 고딕"/>
        <family val="3"/>
        <charset val="129"/>
      </rPr>
      <t xml:space="preserve">후원회비
</t>
    </r>
    <r>
      <rPr>
        <b/>
        <sz val="11"/>
        <color indexed="8"/>
        <rFont val="Arial"/>
        <family val="2"/>
      </rPr>
      <t>(13000)</t>
    </r>
    <phoneticPr fontId="3" type="noConversion"/>
  </si>
  <si>
    <r>
      <rPr>
        <b/>
        <sz val="11"/>
        <color indexed="8"/>
        <rFont val="맑은 고딕"/>
        <family val="3"/>
        <charset val="129"/>
      </rPr>
      <t xml:space="preserve">선교회비
</t>
    </r>
    <r>
      <rPr>
        <b/>
        <sz val="11"/>
        <color indexed="8"/>
        <rFont val="Arial"/>
        <family val="2"/>
      </rPr>
      <t>(12000)</t>
    </r>
    <phoneticPr fontId="3" type="noConversion"/>
  </si>
  <si>
    <r>
      <rPr>
        <b/>
        <sz val="11"/>
        <rFont val="맑은 고딕"/>
        <family val="3"/>
        <charset val="129"/>
      </rPr>
      <t xml:space="preserve">기타수입
</t>
    </r>
    <r>
      <rPr>
        <b/>
        <sz val="11"/>
        <rFont val="Arial"/>
        <family val="2"/>
      </rPr>
      <t>(23000~
25030)</t>
    </r>
    <phoneticPr fontId="2" type="noConversion"/>
  </si>
  <si>
    <t>합계</t>
    <phoneticPr fontId="2" type="noConversion"/>
  </si>
  <si>
    <t>현금</t>
    <phoneticPr fontId="2" type="noConversion"/>
  </si>
  <si>
    <t>이체</t>
  </si>
  <si>
    <t>이윤옥</t>
  </si>
  <si>
    <t>안윤희</t>
  </si>
  <si>
    <t>구제헌금</t>
    <phoneticPr fontId="19" type="noConversion"/>
  </si>
  <si>
    <t>헌금일</t>
    <phoneticPr fontId="2" type="noConversion"/>
  </si>
  <si>
    <t>장관익</t>
  </si>
  <si>
    <t>김동순</t>
  </si>
  <si>
    <t>김선자</t>
  </si>
  <si>
    <t>이용민</t>
  </si>
  <si>
    <t>진현조</t>
  </si>
  <si>
    <t>한윤숙</t>
  </si>
  <si>
    <t>김선우</t>
  </si>
  <si>
    <t>조수진</t>
  </si>
  <si>
    <t>백재민</t>
  </si>
  <si>
    <t>김동환</t>
  </si>
  <si>
    <t>장유정</t>
  </si>
  <si>
    <t>42-</t>
  </si>
  <si>
    <t>고성후원헌금</t>
    <phoneticPr fontId="19" type="noConversion"/>
  </si>
  <si>
    <t>이채은</t>
  </si>
  <si>
    <t>장연지</t>
  </si>
  <si>
    <t>구역</t>
  </si>
  <si>
    <t>청</t>
  </si>
  <si>
    <t>조성민</t>
  </si>
  <si>
    <t>이주언</t>
  </si>
  <si>
    <t>박경순</t>
  </si>
  <si>
    <t>황다혜</t>
  </si>
  <si>
    <t>이둘련</t>
  </si>
  <si>
    <t>임한결</t>
  </si>
  <si>
    <t>정다움</t>
  </si>
  <si>
    <t>서학미</t>
  </si>
  <si>
    <t>김태빈</t>
  </si>
  <si>
    <t>하진</t>
  </si>
  <si>
    <t>이가희</t>
  </si>
  <si>
    <t>김미라</t>
  </si>
  <si>
    <t>이예담</t>
  </si>
  <si>
    <t>김채은</t>
  </si>
  <si>
    <t>44-</t>
  </si>
  <si>
    <t>45-</t>
  </si>
  <si>
    <t>46-</t>
  </si>
  <si>
    <t>47-</t>
  </si>
  <si>
    <t>48-</t>
  </si>
  <si>
    <t>66+</t>
  </si>
  <si>
    <t>67+</t>
  </si>
  <si>
    <t>68+</t>
  </si>
  <si>
    <t>69+</t>
  </si>
  <si>
    <t>70+</t>
  </si>
  <si>
    <t>71+</t>
  </si>
  <si>
    <t>72+</t>
  </si>
  <si>
    <t>91*</t>
  </si>
  <si>
    <t>92*</t>
  </si>
  <si>
    <t>93*</t>
  </si>
  <si>
    <t>94*</t>
  </si>
  <si>
    <t>95*</t>
  </si>
  <si>
    <t>96*</t>
  </si>
  <si>
    <t>97*</t>
  </si>
  <si>
    <t>98*</t>
  </si>
  <si>
    <t>99*</t>
  </si>
  <si>
    <t>100*</t>
  </si>
  <si>
    <t>101*</t>
  </si>
  <si>
    <t>102*</t>
  </si>
  <si>
    <t>양향미</t>
  </si>
  <si>
    <t>49-</t>
  </si>
  <si>
    <t>50-</t>
  </si>
  <si>
    <t>51-</t>
  </si>
  <si>
    <t>52-</t>
  </si>
  <si>
    <t>73+</t>
  </si>
  <si>
    <t>74+</t>
  </si>
  <si>
    <t>75+</t>
  </si>
  <si>
    <t>103*</t>
  </si>
  <si>
    <t>104*</t>
  </si>
  <si>
    <t>김지현</t>
  </si>
  <si>
    <t>회 별</t>
    <phoneticPr fontId="16" type="noConversion"/>
  </si>
  <si>
    <t>김종증</t>
  </si>
  <si>
    <t>최순임</t>
  </si>
  <si>
    <t>윤정란</t>
  </si>
  <si>
    <t>진찬식</t>
  </si>
  <si>
    <t>박민경</t>
  </si>
  <si>
    <t>김종준</t>
  </si>
  <si>
    <t>김정순</t>
  </si>
  <si>
    <t>신두호</t>
  </si>
  <si>
    <t>전영애</t>
  </si>
  <si>
    <t>홍금숙</t>
  </si>
  <si>
    <t>오주은</t>
  </si>
  <si>
    <t>고현민</t>
  </si>
  <si>
    <t>김용범</t>
  </si>
  <si>
    <t>정대림</t>
  </si>
  <si>
    <t>서영석</t>
  </si>
  <si>
    <t>김재수</t>
  </si>
  <si>
    <t>김대원</t>
  </si>
  <si>
    <t>이숙이</t>
  </si>
  <si>
    <t>이재경</t>
  </si>
  <si>
    <t>송경연</t>
  </si>
  <si>
    <t>조명임</t>
  </si>
  <si>
    <t>서기환</t>
  </si>
  <si>
    <t>배미정</t>
  </si>
  <si>
    <t>김병훈</t>
  </si>
  <si>
    <t>류순주</t>
  </si>
  <si>
    <t>봉</t>
  </si>
  <si>
    <t>어</t>
  </si>
  <si>
    <t>은</t>
  </si>
  <si>
    <t>김지민</t>
  </si>
  <si>
    <t>신미</t>
  </si>
  <si>
    <t>윤대혁</t>
  </si>
  <si>
    <t>강희선</t>
  </si>
  <si>
    <t>문혜원</t>
  </si>
  <si>
    <t>김한의</t>
  </si>
  <si>
    <t>신민준</t>
  </si>
  <si>
    <t>조하은</t>
  </si>
  <si>
    <t>장준우</t>
  </si>
  <si>
    <t>이옥임</t>
  </si>
  <si>
    <t>양애란</t>
  </si>
  <si>
    <t>이재순</t>
  </si>
  <si>
    <t>양재원</t>
  </si>
  <si>
    <t>서치호</t>
  </si>
  <si>
    <t>김향자</t>
  </si>
  <si>
    <t>노부남</t>
  </si>
  <si>
    <t>105*</t>
  </si>
  <si>
    <t>106*</t>
  </si>
  <si>
    <t>107*</t>
  </si>
  <si>
    <t>108*</t>
  </si>
  <si>
    <t>양종우</t>
  </si>
  <si>
    <t>109*</t>
  </si>
  <si>
    <t>110*</t>
  </si>
  <si>
    <t>홍순애</t>
  </si>
  <si>
    <t>정호진</t>
  </si>
  <si>
    <t>이한나</t>
  </si>
  <si>
    <t>지용남</t>
  </si>
  <si>
    <t>이종복</t>
  </si>
  <si>
    <t>오성연</t>
  </si>
  <si>
    <t>최복남</t>
  </si>
  <si>
    <r>
      <rPr>
        <b/>
        <sz val="11"/>
        <rFont val="맑은 고딕"/>
        <family val="3"/>
        <charset val="129"/>
      </rPr>
      <t>세계선교</t>
    </r>
    <r>
      <rPr>
        <b/>
        <sz val="11"/>
        <rFont val="Arial"/>
        <family val="2"/>
      </rPr>
      <t xml:space="preserve">
</t>
    </r>
    <r>
      <rPr>
        <b/>
        <sz val="11"/>
        <rFont val="맑은 고딕"/>
        <family val="3"/>
        <charset val="129"/>
      </rPr>
      <t xml:space="preserve">분담금
</t>
    </r>
    <r>
      <rPr>
        <b/>
        <sz val="11"/>
        <rFont val="Arial"/>
        <family val="2"/>
      </rPr>
      <t>(12100)</t>
    </r>
    <phoneticPr fontId="3" type="noConversion"/>
  </si>
  <si>
    <r>
      <rPr>
        <b/>
        <sz val="11"/>
        <color indexed="8"/>
        <rFont val="맑은 고딕"/>
        <family val="3"/>
        <charset val="129"/>
      </rPr>
      <t xml:space="preserve">세계선교
헌금
</t>
    </r>
    <r>
      <rPr>
        <b/>
        <sz val="11"/>
        <color indexed="8"/>
        <rFont val="Arial"/>
        <family val="2"/>
      </rPr>
      <t>(12200)</t>
    </r>
    <phoneticPr fontId="2" type="noConversion"/>
  </si>
  <si>
    <t>김재룡</t>
  </si>
  <si>
    <t>63</t>
    <phoneticPr fontId="42" type="noConversion"/>
  </si>
  <si>
    <t>개수 : 세계선교분담금</t>
  </si>
  <si>
    <t>세계선교분담금</t>
    <phoneticPr fontId="16" type="noConversion"/>
  </si>
  <si>
    <t>청년회</t>
    <phoneticPr fontId="16" type="noConversion"/>
  </si>
  <si>
    <t>은장회</t>
    <phoneticPr fontId="16" type="noConversion"/>
  </si>
  <si>
    <t>윤혜주</t>
  </si>
  <si>
    <t>김나용</t>
  </si>
  <si>
    <t>이나은</t>
  </si>
  <si>
    <t>전진복</t>
  </si>
  <si>
    <t>결재</t>
    <phoneticPr fontId="2" type="noConversion"/>
  </si>
  <si>
    <t>담  당</t>
    <phoneticPr fontId="2" type="noConversion"/>
  </si>
  <si>
    <t xml:space="preserve">회  계 </t>
    <phoneticPr fontId="2" type="noConversion"/>
  </si>
  <si>
    <t>회  장</t>
    <phoneticPr fontId="2" type="noConversion"/>
  </si>
  <si>
    <t>입  금  전  표</t>
    <phoneticPr fontId="2" type="noConversion"/>
  </si>
  <si>
    <t>E/V헌금</t>
    <phoneticPr fontId="2" type="noConversion"/>
  </si>
  <si>
    <t>63</t>
    <phoneticPr fontId="2" type="noConversion"/>
  </si>
  <si>
    <t>대한예수교침례회 창원교회</t>
    <phoneticPr fontId="2" type="noConversion"/>
  </si>
  <si>
    <t>김희승</t>
  </si>
  <si>
    <t>김명선</t>
  </si>
  <si>
    <t>최정숙</t>
  </si>
  <si>
    <t>구</t>
    <phoneticPr fontId="2" type="noConversion"/>
  </si>
  <si>
    <t>번호</t>
  </si>
  <si>
    <t>이름</t>
  </si>
  <si>
    <t>회별</t>
  </si>
  <si>
    <t>ㅁ</t>
    <phoneticPr fontId="3" type="noConversion"/>
  </si>
  <si>
    <t>aa</t>
    <phoneticPr fontId="3" type="noConversion"/>
  </si>
  <si>
    <t>No.</t>
  </si>
  <si>
    <t>임지연</t>
  </si>
  <si>
    <t>양해광</t>
  </si>
  <si>
    <t>양해윤</t>
  </si>
  <si>
    <t>김성엽</t>
  </si>
  <si>
    <t>추가</t>
  </si>
  <si>
    <t>이동하</t>
  </si>
  <si>
    <t>임영택</t>
  </si>
  <si>
    <t>이정화</t>
  </si>
  <si>
    <t>2*</t>
  </si>
  <si>
    <t>김만영</t>
  </si>
  <si>
    <t>임정순</t>
  </si>
  <si>
    <t>강명자</t>
  </si>
  <si>
    <t>김미수</t>
  </si>
  <si>
    <t>김태욱</t>
  </si>
  <si>
    <t>백미자</t>
  </si>
  <si>
    <t>정주상</t>
  </si>
  <si>
    <t>34-</t>
  </si>
  <si>
    <t>변경</t>
  </si>
  <si>
    <t>36-</t>
  </si>
  <si>
    <t>37-</t>
  </si>
  <si>
    <t>황혜교</t>
  </si>
  <si>
    <t>38-</t>
  </si>
  <si>
    <t>39-</t>
  </si>
  <si>
    <t>40-</t>
  </si>
  <si>
    <t>41-</t>
  </si>
  <si>
    <t>43-</t>
  </si>
  <si>
    <r>
      <t>2026</t>
    </r>
    <r>
      <rPr>
        <b/>
        <sz val="14"/>
        <color indexed="8"/>
        <rFont val="맑은 고딕"/>
        <family val="3"/>
        <charset val="129"/>
      </rPr>
      <t>년</t>
    </r>
    <r>
      <rPr>
        <b/>
        <sz val="14"/>
        <color indexed="8"/>
        <rFont val="Arial"/>
        <family val="2"/>
      </rPr>
      <t xml:space="preserve"> </t>
    </r>
    <r>
      <rPr>
        <b/>
        <sz val="14"/>
        <color indexed="8"/>
        <rFont val="맑은 고딕"/>
        <family val="3"/>
        <charset val="129"/>
      </rPr>
      <t>헌금</t>
    </r>
    <r>
      <rPr>
        <b/>
        <sz val="14"/>
        <color indexed="8"/>
        <rFont val="Arial"/>
        <family val="2"/>
      </rPr>
      <t xml:space="preserve"> </t>
    </r>
    <r>
      <rPr>
        <b/>
        <sz val="14"/>
        <color indexed="8"/>
        <rFont val="맑은 고딕"/>
        <family val="3"/>
        <charset val="129"/>
      </rPr>
      <t>현황</t>
    </r>
    <phoneticPr fontId="2" type="noConversion"/>
  </si>
  <si>
    <t>세계선교분담금</t>
    <phoneticPr fontId="2" type="noConversion"/>
  </si>
  <si>
    <t>세계선교헌금</t>
    <phoneticPr fontId="42" type="noConversion"/>
  </si>
  <si>
    <t>전표 No. : 수입-20260106-001</t>
    <phoneticPr fontId="19" type="noConversion"/>
  </si>
  <si>
    <t>2026년  1월  6일</t>
    <phoneticPr fontId="19" type="noConversion"/>
  </si>
  <si>
    <t>3780</t>
    <phoneticPr fontId="42" type="noConversion"/>
  </si>
  <si>
    <t>송연호</t>
    <phoneticPr fontId="42" type="noConversion"/>
  </si>
  <si>
    <t>김춘순</t>
    <phoneticPr fontId="42" type="noConversion"/>
  </si>
  <si>
    <t>은</t>
    <phoneticPr fontId="42" type="noConversion"/>
  </si>
  <si>
    <t>개수 : 세계선교헌금</t>
  </si>
  <si>
    <r>
      <t>2026</t>
    </r>
    <r>
      <rPr>
        <b/>
        <sz val="14"/>
        <color indexed="8"/>
        <rFont val="맑은 고딕"/>
        <family val="3"/>
        <charset val="129"/>
      </rPr>
      <t>년</t>
    </r>
    <r>
      <rPr>
        <b/>
        <sz val="14"/>
        <color indexed="8"/>
        <rFont val="Arial"/>
        <family val="2"/>
      </rPr>
      <t xml:space="preserve"> 2</t>
    </r>
    <r>
      <rPr>
        <b/>
        <sz val="14"/>
        <color indexed="8"/>
        <rFont val="맑은 고딕"/>
        <family val="3"/>
        <charset val="129"/>
      </rPr>
      <t>월</t>
    </r>
    <r>
      <rPr>
        <b/>
        <sz val="14"/>
        <color indexed="8"/>
        <rFont val="Arial"/>
        <family val="2"/>
      </rPr>
      <t xml:space="preserve"> 1~7 </t>
    </r>
    <r>
      <rPr>
        <b/>
        <sz val="14"/>
        <color indexed="8"/>
        <rFont val="맑은 고딕"/>
        <family val="3"/>
        <charset val="129"/>
      </rPr>
      <t>헌금</t>
    </r>
    <phoneticPr fontId="42" type="noConversion"/>
  </si>
  <si>
    <t>2026년 2월 헌금</t>
    <phoneticPr fontId="42" type="noConversion"/>
  </si>
  <si>
    <t>중고등부</t>
  </si>
  <si>
    <t>전표 No. : 수입-20260208-002</t>
    <phoneticPr fontId="2" type="noConversion"/>
  </si>
  <si>
    <t>전표 No. : 수입-20260208-001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</si>
</sst>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-* #,##0.000_-;\-* #,##0.000_-;_-* &quot;-&quot;_-;_-@_-"/>
    <numFmt numFmtId="177" formatCode="_(&quot;$&quot;* #,##0_);_(&quot;$&quot;* \(#,##0\);_(&quot;$&quot;* &quot;-&quot;_);_(@_)"/>
    <numFmt numFmtId="178" formatCode="_(* #,##0_);_(* \(#,##0\);_(* &quot;-&quot;_);_(@_)"/>
    <numFmt numFmtId="179" formatCode="_-* #,##0.000_-;\-* #,##0.000_-;_-* &quot;-&quot;???_-;_-@_-"/>
  </numFmts>
  <fonts count="52" x14ac:knownFonts="1"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8"/>
      <name val="Tahoma"/>
      <family val="2"/>
    </font>
    <font>
      <b/>
      <sz val="14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b/>
      <sz val="11"/>
      <name val="맑은 고딕"/>
      <family val="3"/>
      <charset val="129"/>
    </font>
    <font>
      <sz val="10"/>
      <color indexed="8"/>
      <name val="Arial"/>
      <family val="2"/>
    </font>
    <font>
      <b/>
      <sz val="14"/>
      <color indexed="8"/>
      <name val="Arial"/>
      <family val="2"/>
    </font>
    <font>
      <sz val="8"/>
      <color indexed="8"/>
      <name val="Arial"/>
      <family val="2"/>
    </font>
    <font>
      <b/>
      <sz val="11"/>
      <color indexed="8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8"/>
      <name val="Arial"/>
      <family val="2"/>
    </font>
    <font>
      <sz val="8"/>
      <name val="맑은 고딕"/>
      <family val="3"/>
      <charset val="129"/>
    </font>
    <font>
      <b/>
      <sz val="11"/>
      <name val="돋움"/>
      <family val="3"/>
      <charset val="129"/>
    </font>
    <font>
      <sz val="10"/>
      <color indexed="8"/>
      <name val="돋움"/>
      <family val="3"/>
      <charset val="129"/>
    </font>
    <font>
      <sz val="8"/>
      <name val="맑은 고딕"/>
      <family val="3"/>
      <charset val="129"/>
    </font>
    <font>
      <sz val="10"/>
      <name val="돋움"/>
      <family val="3"/>
      <charset val="129"/>
    </font>
    <font>
      <sz val="10"/>
      <name val="굴림"/>
      <family val="3"/>
      <charset val="129"/>
    </font>
    <font>
      <sz val="10"/>
      <name val="굴림체"/>
      <family val="3"/>
      <charset val="129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1"/>
      <name val="Arial"/>
      <family val="2"/>
    </font>
    <font>
      <sz val="10"/>
      <color rgb="FFFF0000"/>
      <name val="Arial"/>
      <family val="2"/>
    </font>
    <font>
      <sz val="8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rgb="FF000000"/>
      <name val="돋움"/>
      <family val="3"/>
      <charset val="129"/>
    </font>
    <font>
      <b/>
      <sz val="14"/>
      <color indexed="8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b/>
      <sz val="18"/>
      <color theme="1"/>
      <name val="맑은 고딕"/>
      <family val="3"/>
      <charset val="129"/>
      <scheme val="minor"/>
    </font>
    <font>
      <u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color rgb="FF000000"/>
      <name val="돋움"/>
      <family val="3"/>
      <charset val="129"/>
    </font>
    <font>
      <sz val="8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</font>
    <font>
      <sz val="10"/>
      <color theme="1"/>
      <name val="Arial"/>
      <family val="2"/>
    </font>
    <font>
      <sz val="10"/>
      <color rgb="FFFF0000"/>
      <name val="돋움"/>
      <family val="3"/>
      <charset val="129"/>
    </font>
    <font>
      <b/>
      <sz val="11"/>
      <name val="Arial"/>
      <family val="3"/>
      <charset val="129"/>
    </font>
    <font>
      <b/>
      <sz val="11"/>
      <color indexed="8"/>
      <name val="Arial"/>
      <family val="3"/>
      <charset val="129"/>
    </font>
    <font>
      <sz val="10"/>
      <color indexed="8"/>
      <name val="Arial"/>
      <family val="3"/>
      <charset val="129"/>
    </font>
    <font>
      <sz val="11"/>
      <name val="돋움"/>
      <family val="3"/>
      <charset val="129"/>
    </font>
    <font>
      <b/>
      <sz val="11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7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</borders>
  <cellStyleXfs count="11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8" fontId="14" fillId="0" borderId="0" applyFont="0" applyFill="0" applyBorder="0" applyAlignment="0" applyProtection="0"/>
    <xf numFmtId="0" fontId="24" fillId="0" borderId="0">
      <alignment vertical="center"/>
    </xf>
    <xf numFmtId="0" fontId="14" fillId="0" borderId="0"/>
    <xf numFmtId="0" fontId="24" fillId="0" borderId="0">
      <alignment vertical="center"/>
    </xf>
    <xf numFmtId="0" fontId="41" fillId="0" borderId="0">
      <alignment vertical="center"/>
    </xf>
    <xf numFmtId="0" fontId="49" fillId="0" borderId="0">
      <alignment vertical="center"/>
    </xf>
    <xf numFmtId="41" fontId="49" fillId="0" borderId="0" applyFont="0" applyFill="0" applyBorder="0" applyAlignment="0" applyProtection="0">
      <alignment vertical="center"/>
    </xf>
  </cellStyleXfs>
  <cellXfs count="220">
    <xf numFmtId="0" fontId="0" fillId="0" borderId="0" xfId="0">
      <alignment vertical="center"/>
    </xf>
    <xf numFmtId="0" fontId="9" fillId="0" borderId="0" xfId="0" applyFont="1">
      <alignment vertical="center"/>
    </xf>
    <xf numFmtId="176" fontId="9" fillId="0" borderId="0" xfId="2" applyNumberFormat="1" applyFont="1">
      <alignment vertical="center"/>
    </xf>
    <xf numFmtId="176" fontId="11" fillId="0" borderId="0" xfId="2" applyNumberFormat="1" applyFont="1">
      <alignment vertical="center"/>
    </xf>
    <xf numFmtId="176" fontId="28" fillId="7" borderId="1" xfId="2" applyNumberFormat="1" applyFont="1" applyFill="1" applyBorder="1" applyAlignment="1">
      <alignment horizontal="center" vertical="center" wrapText="1" shrinkToFit="1"/>
    </xf>
    <xf numFmtId="176" fontId="13" fillId="7" borderId="1" xfId="2" applyNumberFormat="1" applyFont="1" applyFill="1" applyBorder="1" applyAlignment="1">
      <alignment horizontal="center" vertical="center" wrapText="1" shrinkToFit="1"/>
    </xf>
    <xf numFmtId="176" fontId="13" fillId="7" borderId="2" xfId="2" applyNumberFormat="1" applyFont="1" applyFill="1" applyBorder="1" applyAlignment="1">
      <alignment horizontal="center" vertical="center" wrapText="1" shrinkToFit="1"/>
    </xf>
    <xf numFmtId="176" fontId="13" fillId="8" borderId="1" xfId="2" applyNumberFormat="1" applyFont="1" applyFill="1" applyBorder="1" applyAlignment="1">
      <alignment horizontal="center" vertical="center" wrapText="1" shrinkToFit="1"/>
    </xf>
    <xf numFmtId="176" fontId="28" fillId="8" borderId="1" xfId="2" applyNumberFormat="1" applyFont="1" applyFill="1" applyBorder="1" applyAlignment="1">
      <alignment horizontal="center" vertical="center" wrapText="1" shrinkToFit="1"/>
    </xf>
    <xf numFmtId="176" fontId="13" fillId="0" borderId="2" xfId="2" applyNumberFormat="1" applyFont="1" applyFill="1" applyBorder="1" applyAlignment="1">
      <alignment horizontal="center" vertical="center" wrapText="1" shrinkToFit="1"/>
    </xf>
    <xf numFmtId="176" fontId="14" fillId="0" borderId="3" xfId="2" applyNumberFormat="1" applyFont="1" applyFill="1" applyBorder="1" applyAlignment="1">
      <alignment horizontal="center" vertical="center" shrinkToFit="1"/>
    </xf>
    <xf numFmtId="176" fontId="9" fillId="0" borderId="4" xfId="2" applyNumberFormat="1" applyFont="1" applyFill="1" applyBorder="1" applyAlignment="1">
      <alignment vertical="center" shrinkToFit="1"/>
    </xf>
    <xf numFmtId="176" fontId="9" fillId="0" borderId="5" xfId="2" applyNumberFormat="1" applyFont="1" applyFill="1" applyBorder="1" applyAlignment="1">
      <alignment vertical="center" shrinkToFit="1"/>
    </xf>
    <xf numFmtId="176" fontId="14" fillId="0" borderId="4" xfId="2" applyNumberFormat="1" applyFont="1" applyFill="1" applyBorder="1" applyAlignment="1">
      <alignment horizontal="center" vertical="center" shrinkToFit="1"/>
    </xf>
    <xf numFmtId="176" fontId="14" fillId="0" borderId="6" xfId="2" applyNumberFormat="1" applyFont="1" applyFill="1" applyBorder="1" applyAlignment="1">
      <alignment horizontal="center" vertical="center" shrinkToFit="1"/>
    </xf>
    <xf numFmtId="176" fontId="29" fillId="0" borderId="6" xfId="2" applyNumberFormat="1" applyFont="1" applyFill="1" applyBorder="1" applyAlignment="1">
      <alignment horizontal="center" vertical="center" shrinkToFit="1"/>
    </xf>
    <xf numFmtId="176" fontId="29" fillId="0" borderId="6" xfId="2" applyNumberFormat="1" applyFont="1" applyFill="1" applyBorder="1" applyAlignment="1">
      <alignment vertical="center" shrinkToFit="1"/>
    </xf>
    <xf numFmtId="176" fontId="9" fillId="0" borderId="6" xfId="2" applyNumberFormat="1" applyFont="1" applyFill="1" applyBorder="1" applyAlignment="1">
      <alignment vertical="center" shrinkToFit="1"/>
    </xf>
    <xf numFmtId="14" fontId="9" fillId="0" borderId="0" xfId="0" applyNumberFormat="1" applyFont="1">
      <alignment vertical="center"/>
    </xf>
    <xf numFmtId="0" fontId="9" fillId="0" borderId="0" xfId="0" applyFont="1" applyAlignment="1">
      <alignment horizontal="center" vertical="center"/>
    </xf>
    <xf numFmtId="176" fontId="9" fillId="0" borderId="0" xfId="2" applyNumberFormat="1" applyFont="1" applyAlignment="1">
      <alignment horizontal="center" vertical="center"/>
    </xf>
    <xf numFmtId="176" fontId="15" fillId="9" borderId="7" xfId="2" applyNumberFormat="1" applyFont="1" applyFill="1" applyBorder="1" applyAlignment="1">
      <alignment vertical="center" shrinkToFit="1"/>
    </xf>
    <xf numFmtId="176" fontId="15" fillId="9" borderId="8" xfId="2" applyNumberFormat="1" applyFont="1" applyFill="1" applyBorder="1" applyAlignment="1">
      <alignment vertical="center" shrinkToFit="1"/>
    </xf>
    <xf numFmtId="0" fontId="30" fillId="0" borderId="0" xfId="0" applyFont="1" applyAlignment="1">
      <alignment vertical="center" shrinkToFit="1"/>
    </xf>
    <xf numFmtId="176" fontId="18" fillId="0" borderId="4" xfId="2" applyNumberFormat="1" applyFont="1" applyFill="1" applyBorder="1" applyAlignment="1">
      <alignment vertical="center" shrinkToFit="1"/>
    </xf>
    <xf numFmtId="0" fontId="31" fillId="0" borderId="9" xfId="0" applyFont="1" applyBorder="1" applyAlignment="1">
      <alignment horizontal="center" vertical="center"/>
    </xf>
    <xf numFmtId="0" fontId="31" fillId="0" borderId="10" xfId="0" applyFont="1" applyBorder="1" applyAlignment="1">
      <alignment horizontal="center" vertical="center"/>
    </xf>
    <xf numFmtId="0" fontId="31" fillId="0" borderId="11" xfId="0" applyFont="1" applyBorder="1" applyAlignment="1">
      <alignment horizontal="center" vertical="center"/>
    </xf>
    <xf numFmtId="0" fontId="31" fillId="0" borderId="12" xfId="0" applyFont="1" applyBorder="1" applyAlignment="1">
      <alignment horizontal="center" vertical="center"/>
    </xf>
    <xf numFmtId="0" fontId="31" fillId="0" borderId="13" xfId="0" applyFont="1" applyBorder="1" applyAlignment="1">
      <alignment horizontal="center" vertical="center"/>
    </xf>
    <xf numFmtId="0" fontId="31" fillId="0" borderId="14" xfId="0" applyFont="1" applyBorder="1" applyAlignment="1">
      <alignment horizontal="center" vertical="center"/>
    </xf>
    <xf numFmtId="0" fontId="0" fillId="0" borderId="15" xfId="0" applyBorder="1">
      <alignment vertical="center"/>
    </xf>
    <xf numFmtId="41" fontId="0" fillId="0" borderId="0" xfId="0" applyNumberFormat="1">
      <alignment vertical="center"/>
    </xf>
    <xf numFmtId="0" fontId="32" fillId="0" borderId="0" xfId="0" applyFont="1">
      <alignment vertical="center"/>
    </xf>
    <xf numFmtId="176" fontId="9" fillId="9" borderId="0" xfId="2" applyNumberFormat="1" applyFont="1" applyFill="1">
      <alignment vertical="center"/>
    </xf>
    <xf numFmtId="0" fontId="9" fillId="0" borderId="4" xfId="0" applyFont="1" applyBorder="1" applyAlignment="1">
      <alignment horizontal="center"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31" fillId="0" borderId="4" xfId="0" applyFont="1" applyBorder="1" applyAlignment="1">
      <alignment horizontal="center" vertical="center"/>
    </xf>
    <xf numFmtId="0" fontId="31" fillId="0" borderId="18" xfId="0" applyFont="1" applyBorder="1">
      <alignment vertical="center"/>
    </xf>
    <xf numFmtId="0" fontId="31" fillId="0" borderId="19" xfId="0" applyFont="1" applyBorder="1" applyAlignment="1">
      <alignment horizontal="center" vertical="center"/>
    </xf>
    <xf numFmtId="0" fontId="31" fillId="0" borderId="20" xfId="0" applyFont="1" applyBorder="1">
      <alignment vertical="center"/>
    </xf>
    <xf numFmtId="0" fontId="31" fillId="0" borderId="21" xfId="0" applyFont="1" applyBorder="1">
      <alignment vertical="center"/>
    </xf>
    <xf numFmtId="0" fontId="31" fillId="0" borderId="3" xfId="0" applyFont="1" applyBorder="1" applyAlignment="1">
      <alignment horizontal="center" vertical="center"/>
    </xf>
    <xf numFmtId="0" fontId="31" fillId="0" borderId="22" xfId="0" applyFont="1" applyBorder="1">
      <alignment vertical="center"/>
    </xf>
    <xf numFmtId="0" fontId="31" fillId="0" borderId="2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3" fillId="0" borderId="22" xfId="0" applyFont="1" applyBorder="1" applyAlignment="1">
      <alignment vertical="center" wrapText="1"/>
    </xf>
    <xf numFmtId="176" fontId="12" fillId="7" borderId="1" xfId="2" applyNumberFormat="1" applyFont="1" applyFill="1" applyBorder="1" applyAlignment="1">
      <alignment horizontal="center" vertical="center" wrapText="1" shrinkToFit="1"/>
    </xf>
    <xf numFmtId="176" fontId="9" fillId="0" borderId="0" xfId="2" applyNumberFormat="1" applyFont="1" applyFill="1">
      <alignment vertical="center"/>
    </xf>
    <xf numFmtId="176" fontId="13" fillId="0" borderId="23" xfId="2" applyNumberFormat="1" applyFont="1" applyFill="1" applyBorder="1" applyAlignment="1">
      <alignment horizontal="center" vertical="center" shrinkToFit="1"/>
    </xf>
    <xf numFmtId="14" fontId="9" fillId="0" borderId="24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 applyProtection="1">
      <alignment horizontal="center" vertical="center"/>
      <protection hidden="1"/>
    </xf>
    <xf numFmtId="0" fontId="18" fillId="0" borderId="4" xfId="0" applyFont="1" applyBorder="1" applyAlignment="1" applyProtection="1">
      <alignment horizontal="center" vertical="center"/>
      <protection hidden="1"/>
    </xf>
    <xf numFmtId="0" fontId="0" fillId="0" borderId="25" xfId="0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176" fontId="9" fillId="8" borderId="0" xfId="2" applyNumberFormat="1" applyFont="1" applyFill="1">
      <alignment vertical="center"/>
    </xf>
    <xf numFmtId="176" fontId="9" fillId="0" borderId="0" xfId="2" applyNumberFormat="1" applyFont="1" applyAlignment="1">
      <alignment horizontal="right" vertical="center"/>
    </xf>
    <xf numFmtId="176" fontId="9" fillId="0" borderId="26" xfId="0" applyNumberFormat="1" applyFont="1" applyBorder="1" applyAlignment="1">
      <alignment vertical="center" shrinkToFit="1"/>
    </xf>
    <xf numFmtId="0" fontId="9" fillId="0" borderId="6" xfId="0" applyFont="1" applyBorder="1" applyAlignment="1" applyProtection="1">
      <alignment horizontal="center" vertical="center"/>
      <protection hidden="1"/>
    </xf>
    <xf numFmtId="0" fontId="9" fillId="0" borderId="6" xfId="0" applyFont="1" applyBorder="1" applyAlignment="1">
      <alignment horizontal="center" vertical="center"/>
    </xf>
    <xf numFmtId="14" fontId="9" fillId="0" borderId="27" xfId="0" applyNumberFormat="1" applyFont="1" applyBorder="1" applyAlignment="1">
      <alignment horizontal="center" vertical="center"/>
    </xf>
    <xf numFmtId="176" fontId="9" fillId="0" borderId="18" xfId="0" applyNumberFormat="1" applyFont="1" applyBorder="1" applyAlignment="1">
      <alignment vertical="center" shrinkToFit="1"/>
    </xf>
    <xf numFmtId="0" fontId="13" fillId="0" borderId="23" xfId="0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wrapText="1" shrinkToFit="1"/>
    </xf>
    <xf numFmtId="0" fontId="13" fillId="0" borderId="1" xfId="0" applyFont="1" applyBorder="1" applyAlignment="1">
      <alignment horizontal="center" vertical="center" shrinkToFit="1"/>
    </xf>
    <xf numFmtId="0" fontId="13" fillId="0" borderId="1" xfId="0" applyFont="1" applyBorder="1" applyAlignment="1">
      <alignment horizontal="center" vertical="center" wrapText="1" shrinkToFit="1"/>
    </xf>
    <xf numFmtId="0" fontId="12" fillId="0" borderId="1" xfId="0" applyFont="1" applyBorder="1" applyAlignment="1">
      <alignment horizontal="center" vertical="center" shrinkToFit="1"/>
    </xf>
    <xf numFmtId="14" fontId="12" fillId="0" borderId="28" xfId="0" applyNumberFormat="1" applyFont="1" applyBorder="1" applyAlignment="1">
      <alignment horizontal="center" vertical="center" shrinkToFit="1"/>
    </xf>
    <xf numFmtId="14" fontId="7" fillId="0" borderId="28" xfId="0" applyNumberFormat="1" applyFont="1" applyBorder="1" applyAlignment="1">
      <alignment horizontal="center" vertical="center" shrinkToFit="1"/>
    </xf>
    <xf numFmtId="0" fontId="26" fillId="2" borderId="29" xfId="0" applyFont="1" applyFill="1" applyBorder="1" applyAlignment="1">
      <alignment horizontal="center" vertical="center" shrinkToFit="1"/>
    </xf>
    <xf numFmtId="0" fontId="26" fillId="2" borderId="30" xfId="0" applyFont="1" applyFill="1" applyBorder="1" applyAlignment="1">
      <alignment horizontal="center" vertical="center" shrinkToFit="1"/>
    </xf>
    <xf numFmtId="0" fontId="26" fillId="2" borderId="30" xfId="0" applyFont="1" applyFill="1" applyBorder="1" applyAlignment="1">
      <alignment horizontal="center" vertical="center" wrapText="1" shrinkToFit="1"/>
    </xf>
    <xf numFmtId="0" fontId="26" fillId="2" borderId="30" xfId="0" applyFont="1" applyFill="1" applyBorder="1" applyAlignment="1">
      <alignment horizontal="center" vertical="center"/>
    </xf>
    <xf numFmtId="0" fontId="26" fillId="2" borderId="31" xfId="0" applyFont="1" applyFill="1" applyBorder="1" applyAlignment="1">
      <alignment horizontal="center" vertical="center" shrinkToFit="1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176" fontId="34" fillId="0" borderId="4" xfId="2" applyNumberFormat="1" applyFont="1" applyFill="1" applyBorder="1" applyAlignment="1">
      <alignment vertical="center" shrinkToFit="1"/>
    </xf>
    <xf numFmtId="176" fontId="24" fillId="0" borderId="0" xfId="1" applyNumberFormat="1" applyFont="1">
      <alignment vertical="center"/>
    </xf>
    <xf numFmtId="14" fontId="35" fillId="9" borderId="32" xfId="0" applyNumberFormat="1" applyFont="1" applyFill="1" applyBorder="1" applyAlignment="1">
      <alignment horizontal="left" vertical="center"/>
    </xf>
    <xf numFmtId="176" fontId="10" fillId="0" borderId="0" xfId="0" applyNumberFormat="1" applyFont="1" applyAlignment="1">
      <alignment horizontal="left" vertical="center"/>
    </xf>
    <xf numFmtId="176" fontId="9" fillId="0" borderId="0" xfId="0" applyNumberFormat="1" applyFont="1">
      <alignment vertical="center"/>
    </xf>
    <xf numFmtId="176" fontId="44" fillId="0" borderId="4" xfId="2" applyNumberFormat="1" applyFont="1" applyFill="1" applyBorder="1" applyAlignment="1">
      <alignment horizontal="center" vertical="center" shrinkToFit="1"/>
    </xf>
    <xf numFmtId="0" fontId="31" fillId="0" borderId="20" xfId="0" quotePrefix="1" applyFont="1" applyBorder="1">
      <alignment vertical="center"/>
    </xf>
    <xf numFmtId="0" fontId="31" fillId="0" borderId="20" xfId="0" quotePrefix="1" applyFont="1" applyBorder="1" applyAlignment="1">
      <alignment vertical="center" wrapText="1" shrinkToFit="1"/>
    </xf>
    <xf numFmtId="0" fontId="0" fillId="0" borderId="56" xfId="0" applyBorder="1">
      <alignment vertical="center"/>
    </xf>
    <xf numFmtId="176" fontId="18" fillId="0" borderId="0" xfId="2" applyNumberFormat="1" applyFont="1">
      <alignment vertical="center"/>
    </xf>
    <xf numFmtId="176" fontId="29" fillId="0" borderId="4" xfId="2" applyNumberFormat="1" applyFont="1" applyFill="1" applyBorder="1" applyAlignment="1">
      <alignment horizontal="center" vertical="center" shrinkToFit="1"/>
    </xf>
    <xf numFmtId="176" fontId="29" fillId="0" borderId="4" xfId="2" applyNumberFormat="1" applyFont="1" applyFill="1" applyBorder="1" applyAlignment="1">
      <alignment vertical="center" shrinkToFit="1"/>
    </xf>
    <xf numFmtId="176" fontId="45" fillId="0" borderId="4" xfId="2" applyNumberFormat="1" applyFont="1" applyFill="1" applyBorder="1" applyAlignment="1">
      <alignment vertical="center" shrinkToFit="1"/>
    </xf>
    <xf numFmtId="176" fontId="20" fillId="0" borderId="4" xfId="2" applyNumberFormat="1" applyFont="1" applyFill="1" applyBorder="1" applyAlignment="1">
      <alignment vertical="center" shrinkToFit="1"/>
    </xf>
    <xf numFmtId="179" fontId="9" fillId="0" borderId="0" xfId="0" applyNumberFormat="1" applyFont="1">
      <alignment vertical="center"/>
    </xf>
    <xf numFmtId="176" fontId="20" fillId="0" borderId="4" xfId="2" applyNumberFormat="1" applyFont="1" applyFill="1" applyBorder="1" applyAlignment="1">
      <alignment vertical="center" wrapText="1" shrinkToFit="1"/>
    </xf>
    <xf numFmtId="176" fontId="46" fillId="7" borderId="1" xfId="2" applyNumberFormat="1" applyFont="1" applyFill="1" applyBorder="1" applyAlignment="1">
      <alignment horizontal="center" vertical="center" wrapText="1" shrinkToFit="1"/>
    </xf>
    <xf numFmtId="176" fontId="47" fillId="8" borderId="1" xfId="2" applyNumberFormat="1" applyFont="1" applyFill="1" applyBorder="1" applyAlignment="1">
      <alignment horizontal="center" vertical="center" wrapText="1" shrinkToFit="1"/>
    </xf>
    <xf numFmtId="0" fontId="48" fillId="0" borderId="4" xfId="0" applyFont="1" applyBorder="1" applyAlignment="1" applyProtection="1">
      <alignment horizontal="center" vertical="center"/>
      <protection hidden="1"/>
    </xf>
    <xf numFmtId="176" fontId="45" fillId="0" borderId="4" xfId="2" applyNumberFormat="1" applyFont="1" applyFill="1" applyBorder="1" applyAlignment="1">
      <alignment vertical="center" wrapText="1" shrinkToFit="1"/>
    </xf>
    <xf numFmtId="0" fontId="31" fillId="0" borderId="22" xfId="0" quotePrefix="1" applyFont="1" applyBorder="1">
      <alignment vertical="center"/>
    </xf>
    <xf numFmtId="0" fontId="0" fillId="0" borderId="57" xfId="0" applyBorder="1">
      <alignment vertical="center"/>
    </xf>
    <xf numFmtId="0" fontId="0" fillId="0" borderId="57" xfId="0" pivotButton="1" applyBorder="1">
      <alignment vertical="center"/>
    </xf>
    <xf numFmtId="0" fontId="0" fillId="0" borderId="58" xfId="0" applyBorder="1">
      <alignment vertical="center"/>
    </xf>
    <xf numFmtId="0" fontId="0" fillId="0" borderId="59" xfId="0" applyBorder="1">
      <alignment vertical="center"/>
    </xf>
    <xf numFmtId="0" fontId="0" fillId="0" borderId="60" xfId="0" applyBorder="1">
      <alignment vertical="center"/>
    </xf>
    <xf numFmtId="0" fontId="0" fillId="0" borderId="62" xfId="0" applyBorder="1">
      <alignment vertical="center"/>
    </xf>
    <xf numFmtId="0" fontId="0" fillId="0" borderId="65" xfId="0" pivotButton="1" applyBorder="1">
      <alignment vertical="center"/>
    </xf>
    <xf numFmtId="176" fontId="24" fillId="0" borderId="0" xfId="2" applyNumberFormat="1" applyFont="1">
      <alignment vertical="center"/>
    </xf>
    <xf numFmtId="0" fontId="0" fillId="0" borderId="66" xfId="0" applyBorder="1" applyAlignment="1">
      <alignment horizontal="center" vertical="center"/>
    </xf>
    <xf numFmtId="0" fontId="0" fillId="0" borderId="67" xfId="0" applyBorder="1">
      <alignment vertical="center"/>
    </xf>
    <xf numFmtId="0" fontId="49" fillId="0" borderId="0" xfId="9" applyAlignment="1">
      <alignment horizontal="center" vertical="center"/>
    </xf>
    <xf numFmtId="0" fontId="25" fillId="2" borderId="56" xfId="9" applyFont="1" applyFill="1" applyBorder="1" applyAlignment="1">
      <alignment horizontal="center" vertical="center"/>
    </xf>
    <xf numFmtId="0" fontId="24" fillId="0" borderId="0" xfId="5">
      <alignment vertical="center"/>
    </xf>
    <xf numFmtId="0" fontId="43" fillId="0" borderId="68" xfId="9" applyFont="1" applyBorder="1" applyAlignment="1">
      <alignment horizontal="center" vertical="center"/>
    </xf>
    <xf numFmtId="0" fontId="43" fillId="0" borderId="69" xfId="9" applyFont="1" applyBorder="1" applyAlignment="1">
      <alignment horizontal="center" vertical="center"/>
    </xf>
    <xf numFmtId="0" fontId="43" fillId="0" borderId="70" xfId="9" applyFont="1" applyBorder="1" applyAlignment="1">
      <alignment horizontal="center" vertical="center"/>
    </xf>
    <xf numFmtId="41" fontId="43" fillId="0" borderId="71" xfId="10" applyFont="1" applyFill="1" applyBorder="1" applyAlignment="1">
      <alignment horizontal="center" vertical="center"/>
    </xf>
    <xf numFmtId="0" fontId="49" fillId="3" borderId="56" xfId="9" applyFill="1" applyBorder="1" applyAlignment="1">
      <alignment horizontal="center" vertical="center"/>
    </xf>
    <xf numFmtId="0" fontId="43" fillId="0" borderId="72" xfId="9" applyFont="1" applyBorder="1" applyAlignment="1">
      <alignment horizontal="center" vertical="center"/>
    </xf>
    <xf numFmtId="0" fontId="50" fillId="0" borderId="56" xfId="9" applyFont="1" applyBorder="1" applyAlignment="1">
      <alignment horizontal="center" vertical="center" shrinkToFit="1"/>
    </xf>
    <xf numFmtId="0" fontId="43" fillId="0" borderId="56" xfId="9" applyFont="1" applyBorder="1" applyAlignment="1">
      <alignment horizontal="center" vertical="center"/>
    </xf>
    <xf numFmtId="0" fontId="37" fillId="0" borderId="56" xfId="9" applyFont="1" applyBorder="1" applyAlignment="1">
      <alignment horizontal="center" vertical="center"/>
    </xf>
    <xf numFmtId="0" fontId="43" fillId="0" borderId="56" xfId="9" applyFont="1" applyBorder="1" applyAlignment="1">
      <alignment horizontal="center" vertical="center" shrinkToFit="1"/>
    </xf>
    <xf numFmtId="0" fontId="50" fillId="0" borderId="56" xfId="9" applyFont="1" applyBorder="1" applyAlignment="1">
      <alignment horizontal="center" vertical="center"/>
    </xf>
    <xf numFmtId="0" fontId="27" fillId="3" borderId="56" xfId="9" applyFont="1" applyFill="1" applyBorder="1" applyAlignment="1">
      <alignment horizontal="center" vertical="center" shrinkToFit="1"/>
    </xf>
    <xf numFmtId="0" fontId="50" fillId="0" borderId="73" xfId="9" applyFont="1" applyBorder="1" applyAlignment="1">
      <alignment horizontal="center" vertical="center"/>
    </xf>
    <xf numFmtId="0" fontId="43" fillId="0" borderId="71" xfId="9" applyFont="1" applyBorder="1" applyAlignment="1">
      <alignment horizontal="center" vertical="center"/>
    </xf>
    <xf numFmtId="0" fontId="27" fillId="3" borderId="56" xfId="9" applyFont="1" applyFill="1" applyBorder="1" applyAlignment="1">
      <alignment horizontal="center" vertical="center"/>
    </xf>
    <xf numFmtId="0" fontId="37" fillId="0" borderId="0" xfId="9" applyFont="1" applyAlignment="1">
      <alignment horizontal="center" vertical="center"/>
    </xf>
    <xf numFmtId="0" fontId="36" fillId="3" borderId="56" xfId="9" applyFont="1" applyFill="1" applyBorder="1" applyAlignment="1">
      <alignment horizontal="center" vertical="center"/>
    </xf>
    <xf numFmtId="0" fontId="49" fillId="0" borderId="56" xfId="9" applyBorder="1" applyAlignment="1">
      <alignment horizontal="center" vertical="center"/>
    </xf>
    <xf numFmtId="0" fontId="36" fillId="0" borderId="56" xfId="9" applyFont="1" applyBorder="1" applyAlignment="1">
      <alignment horizontal="center" vertical="center"/>
    </xf>
    <xf numFmtId="0" fontId="49" fillId="4" borderId="56" xfId="9" applyFill="1" applyBorder="1" applyAlignment="1">
      <alignment horizontal="center" vertical="center"/>
    </xf>
    <xf numFmtId="0" fontId="36" fillId="10" borderId="56" xfId="9" applyFont="1" applyFill="1" applyBorder="1" applyAlignment="1">
      <alignment horizontal="center" vertical="center"/>
    </xf>
    <xf numFmtId="0" fontId="36" fillId="10" borderId="56" xfId="9" applyFont="1" applyFill="1" applyBorder="1" applyAlignment="1">
      <alignment horizontal="center" vertical="center" shrinkToFit="1"/>
    </xf>
    <xf numFmtId="0" fontId="51" fillId="0" borderId="73" xfId="9" applyFont="1" applyBorder="1" applyAlignment="1">
      <alignment horizontal="center" vertical="center"/>
    </xf>
    <xf numFmtId="0" fontId="21" fillId="10" borderId="56" xfId="9" applyFont="1" applyFill="1" applyBorder="1" applyAlignment="1">
      <alignment horizontal="center" vertical="center" shrinkToFit="1"/>
    </xf>
    <xf numFmtId="0" fontId="20" fillId="10" borderId="56" xfId="9" applyFont="1" applyFill="1" applyBorder="1" applyAlignment="1">
      <alignment horizontal="center" vertical="center"/>
    </xf>
    <xf numFmtId="0" fontId="27" fillId="4" borderId="56" xfId="9" applyFont="1" applyFill="1" applyBorder="1" applyAlignment="1">
      <alignment horizontal="center" vertical="center" shrinkToFit="1"/>
    </xf>
    <xf numFmtId="0" fontId="36" fillId="4" borderId="56" xfId="9" applyFont="1" applyFill="1" applyBorder="1" applyAlignment="1">
      <alignment horizontal="center" vertical="center"/>
    </xf>
    <xf numFmtId="0" fontId="49" fillId="5" borderId="56" xfId="9" applyFill="1" applyBorder="1" applyAlignment="1">
      <alignment horizontal="center" vertical="center"/>
    </xf>
    <xf numFmtId="0" fontId="36" fillId="5" borderId="56" xfId="9" applyFont="1" applyFill="1" applyBorder="1" applyAlignment="1">
      <alignment horizontal="center" vertical="center"/>
    </xf>
    <xf numFmtId="0" fontId="27" fillId="5" borderId="56" xfId="9" applyFont="1" applyFill="1" applyBorder="1" applyAlignment="1">
      <alignment horizontal="center" vertical="center" shrinkToFit="1"/>
    </xf>
    <xf numFmtId="0" fontId="22" fillId="5" borderId="0" xfId="9" applyFont="1" applyFill="1" applyAlignment="1">
      <alignment horizontal="center" vertical="center"/>
    </xf>
    <xf numFmtId="0" fontId="49" fillId="6" borderId="56" xfId="9" applyFill="1" applyBorder="1" applyAlignment="1">
      <alignment horizontal="center" vertical="center"/>
    </xf>
    <xf numFmtId="0" fontId="27" fillId="6" borderId="56" xfId="9" applyFont="1" applyFill="1" applyBorder="1" applyAlignment="1">
      <alignment horizontal="center" vertical="center" shrinkToFit="1"/>
    </xf>
    <xf numFmtId="0" fontId="22" fillId="6" borderId="56" xfId="9" applyFont="1" applyFill="1" applyBorder="1" applyAlignment="1">
      <alignment horizontal="center" vertical="center"/>
    </xf>
    <xf numFmtId="0" fontId="27" fillId="6" borderId="56" xfId="9" applyFont="1" applyFill="1" applyBorder="1" applyAlignment="1">
      <alignment horizontal="center" vertical="center"/>
    </xf>
    <xf numFmtId="0" fontId="51" fillId="0" borderId="74" xfId="9" applyFont="1" applyBorder="1" applyAlignment="1">
      <alignment horizontal="center" vertical="center"/>
    </xf>
    <xf numFmtId="0" fontId="49" fillId="0" borderId="0" xfId="9">
      <alignment vertical="center"/>
    </xf>
    <xf numFmtId="0" fontId="31" fillId="0" borderId="20" xfId="0" quotePrefix="1" applyFont="1" applyBorder="1" applyAlignment="1">
      <alignment vertical="center" shrinkToFit="1"/>
    </xf>
    <xf numFmtId="0" fontId="0" fillId="0" borderId="75" xfId="0" applyBorder="1">
      <alignment vertical="center"/>
    </xf>
    <xf numFmtId="0" fontId="0" fillId="0" borderId="65" xfId="0" applyBorder="1" applyAlignment="1">
      <alignment horizontal="left" vertical="center"/>
    </xf>
    <xf numFmtId="0" fontId="0" fillId="0" borderId="0" xfId="5" applyFont="1">
      <alignment vertical="center"/>
    </xf>
    <xf numFmtId="0" fontId="20" fillId="0" borderId="4" xfId="0" applyFont="1" applyBorder="1" applyAlignment="1" applyProtection="1">
      <alignment horizontal="left" vertical="center"/>
      <protection hidden="1"/>
    </xf>
    <xf numFmtId="0" fontId="18" fillId="0" borderId="4" xfId="0" applyFont="1" applyBorder="1" applyAlignment="1" applyProtection="1">
      <alignment horizontal="center" vertical="center" shrinkToFit="1"/>
      <protection hidden="1"/>
    </xf>
    <xf numFmtId="0" fontId="9" fillId="0" borderId="4" xfId="0" quotePrefix="1" applyFont="1" applyBorder="1" applyAlignment="1" applyProtection="1">
      <alignment horizontal="center" vertical="center"/>
      <protection hidden="1"/>
    </xf>
    <xf numFmtId="0" fontId="0" fillId="0" borderId="61" xfId="0" applyBorder="1">
      <alignment vertical="center"/>
    </xf>
    <xf numFmtId="0" fontId="0" fillId="0" borderId="76" xfId="0" applyBorder="1">
      <alignment vertical="center"/>
    </xf>
    <xf numFmtId="0" fontId="0" fillId="0" borderId="63" xfId="0" applyBorder="1">
      <alignment vertical="center"/>
    </xf>
    <xf numFmtId="0" fontId="0" fillId="0" borderId="64" xfId="0" applyBorder="1">
      <alignment vertical="center"/>
    </xf>
    <xf numFmtId="0" fontId="32" fillId="0" borderId="57" xfId="0" pivotButton="1" applyFont="1" applyBorder="1">
      <alignment vertical="center"/>
    </xf>
    <xf numFmtId="0" fontId="32" fillId="0" borderId="57" xfId="0" applyFont="1" applyBorder="1">
      <alignment vertical="center"/>
    </xf>
    <xf numFmtId="0" fontId="32" fillId="0" borderId="60" xfId="0" applyFont="1" applyBorder="1">
      <alignment vertical="center"/>
    </xf>
    <xf numFmtId="0" fontId="32" fillId="0" borderId="61" xfId="0" applyFont="1" applyBorder="1">
      <alignment vertical="center"/>
    </xf>
    <xf numFmtId="14" fontId="10" fillId="0" borderId="0" xfId="0" applyNumberFormat="1" applyFont="1" applyAlignment="1">
      <alignment horizontal="left" vertical="center"/>
    </xf>
    <xf numFmtId="14" fontId="35" fillId="9" borderId="33" xfId="0" applyNumberFormat="1" applyFont="1" applyFill="1" applyBorder="1" applyAlignment="1">
      <alignment horizontal="right" vertical="center"/>
    </xf>
    <xf numFmtId="14" fontId="35" fillId="9" borderId="34" xfId="0" applyNumberFormat="1" applyFont="1" applyFill="1" applyBorder="1" applyAlignment="1">
      <alignment horizontal="right" vertical="center"/>
    </xf>
    <xf numFmtId="14" fontId="35" fillId="9" borderId="34" xfId="0" applyNumberFormat="1" applyFont="1" applyFill="1" applyBorder="1" applyAlignment="1">
      <alignment horizontal="left" vertical="center"/>
    </xf>
    <xf numFmtId="14" fontId="35" fillId="9" borderId="32" xfId="0" applyNumberFormat="1" applyFont="1" applyFill="1" applyBorder="1" applyAlignment="1">
      <alignment horizontal="left" vertical="center"/>
    </xf>
    <xf numFmtId="0" fontId="31" fillId="0" borderId="16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1" fillId="0" borderId="17" xfId="0" applyFont="1" applyBorder="1" applyAlignment="1">
      <alignment horizontal="center" vertical="center"/>
    </xf>
    <xf numFmtId="0" fontId="40" fillId="0" borderId="25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vertical="center"/>
    </xf>
    <xf numFmtId="0" fontId="40" fillId="0" borderId="37" xfId="0" applyFont="1" applyBorder="1" applyAlignment="1">
      <alignment horizontal="center" vertical="center"/>
    </xf>
    <xf numFmtId="14" fontId="0" fillId="0" borderId="46" xfId="0" applyNumberFormat="1" applyBorder="1" applyAlignment="1">
      <alignment horizontal="center" vertical="center"/>
    </xf>
    <xf numFmtId="14" fontId="0" fillId="0" borderId="47" xfId="0" applyNumberFormat="1" applyBorder="1" applyAlignment="1">
      <alignment horizontal="center" vertical="center"/>
    </xf>
    <xf numFmtId="41" fontId="31" fillId="0" borderId="19" xfId="2" applyFont="1" applyBorder="1" applyAlignment="1">
      <alignment horizontal="center" vertical="center"/>
    </xf>
    <xf numFmtId="14" fontId="0" fillId="0" borderId="24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3" xfId="0" applyFont="1" applyBorder="1" applyAlignment="1">
      <alignment horizontal="center" vertical="center"/>
    </xf>
    <xf numFmtId="0" fontId="31" fillId="0" borderId="44" xfId="0" applyFont="1" applyBorder="1" applyAlignment="1">
      <alignment horizontal="center" vertical="center"/>
    </xf>
    <xf numFmtId="41" fontId="31" fillId="0" borderId="45" xfId="0" applyNumberFormat="1" applyFont="1" applyBorder="1" applyAlignment="1">
      <alignment horizontal="center" vertical="center"/>
    </xf>
    <xf numFmtId="0" fontId="31" fillId="0" borderId="45" xfId="0" applyFont="1" applyBorder="1" applyAlignment="1">
      <alignment horizontal="center" vertical="center"/>
    </xf>
    <xf numFmtId="14" fontId="0" fillId="0" borderId="40" xfId="0" applyNumberFormat="1" applyBorder="1" applyAlignment="1">
      <alignment horizontal="center" vertical="center"/>
    </xf>
    <xf numFmtId="14" fontId="0" fillId="0" borderId="41" xfId="0" applyNumberFormat="1" applyBorder="1" applyAlignment="1">
      <alignment horizontal="center" vertical="center"/>
    </xf>
    <xf numFmtId="41" fontId="31" fillId="0" borderId="4" xfId="2" applyFont="1" applyBorder="1" applyAlignment="1">
      <alignment horizontal="center" vertical="center"/>
    </xf>
    <xf numFmtId="41" fontId="31" fillId="0" borderId="3" xfId="2" applyFont="1" applyBorder="1" applyAlignment="1">
      <alignment horizontal="center" vertical="center"/>
    </xf>
    <xf numFmtId="0" fontId="31" fillId="0" borderId="28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14" fontId="0" fillId="0" borderId="38" xfId="0" applyNumberFormat="1" applyBorder="1" applyAlignment="1">
      <alignment horizontal="center" vertical="center"/>
    </xf>
    <xf numFmtId="14" fontId="0" fillId="0" borderId="39" xfId="0" applyNumberFormat="1" applyBorder="1" applyAlignment="1">
      <alignment horizontal="center" vertical="center"/>
    </xf>
    <xf numFmtId="0" fontId="31" fillId="0" borderId="35" xfId="0" applyFont="1" applyBorder="1" applyAlignment="1">
      <alignment horizontal="center" vertical="center" textRotation="255"/>
    </xf>
    <xf numFmtId="0" fontId="31" fillId="0" borderId="36" xfId="0" applyFont="1" applyBorder="1" applyAlignment="1">
      <alignment horizontal="center" vertical="center" textRotation="255"/>
    </xf>
    <xf numFmtId="0" fontId="38" fillId="0" borderId="16" xfId="0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8" fillId="0" borderId="17" xfId="0" applyFont="1" applyBorder="1" applyAlignment="1">
      <alignment horizontal="center" vertical="center"/>
    </xf>
    <xf numFmtId="0" fontId="39" fillId="0" borderId="25" xfId="0" applyFont="1" applyBorder="1" applyAlignment="1">
      <alignment horizontal="left" vertical="center"/>
    </xf>
    <xf numFmtId="0" fontId="39" fillId="0" borderId="12" xfId="0" applyFont="1" applyBorder="1" applyAlignment="1">
      <alignment horizontal="left" vertical="center"/>
    </xf>
    <xf numFmtId="0" fontId="39" fillId="0" borderId="37" xfId="0" applyFont="1" applyBorder="1" applyAlignment="1">
      <alignment horizontal="left" vertical="center"/>
    </xf>
    <xf numFmtId="0" fontId="39" fillId="0" borderId="16" xfId="0" applyFont="1" applyBorder="1" applyAlignment="1">
      <alignment horizontal="left" vertical="center"/>
    </xf>
    <xf numFmtId="0" fontId="39" fillId="0" borderId="0" xfId="0" applyFont="1" applyAlignment="1">
      <alignment horizontal="left" vertical="center"/>
    </xf>
    <xf numFmtId="0" fontId="39" fillId="0" borderId="17" xfId="0" applyFont="1" applyBorder="1" applyAlignment="1">
      <alignment horizontal="left" vertical="center"/>
    </xf>
    <xf numFmtId="0" fontId="31" fillId="0" borderId="48" xfId="0" applyFont="1" applyBorder="1" applyAlignment="1">
      <alignment horizontal="center" vertical="center" textRotation="255"/>
    </xf>
    <xf numFmtId="0" fontId="31" fillId="0" borderId="49" xfId="0" applyFont="1" applyBorder="1" applyAlignment="1">
      <alignment horizontal="center" vertical="center" textRotation="255"/>
    </xf>
    <xf numFmtId="0" fontId="38" fillId="0" borderId="50" xfId="0" applyFont="1" applyBorder="1" applyAlignment="1">
      <alignment horizontal="center" vertical="center"/>
    </xf>
    <xf numFmtId="0" fontId="38" fillId="0" borderId="9" xfId="0" applyFont="1" applyBorder="1" applyAlignment="1">
      <alignment horizontal="center" vertical="center"/>
    </xf>
    <xf numFmtId="0" fontId="38" fillId="0" borderId="51" xfId="0" applyFont="1" applyBorder="1" applyAlignment="1">
      <alignment horizontal="center" vertical="center"/>
    </xf>
    <xf numFmtId="0" fontId="31" fillId="0" borderId="55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31" fillId="0" borderId="2" xfId="0" applyFont="1" applyBorder="1" applyAlignment="1">
      <alignment horizontal="center" vertical="center"/>
    </xf>
    <xf numFmtId="41" fontId="31" fillId="0" borderId="53" xfId="2" applyFont="1" applyBorder="1" applyAlignment="1">
      <alignment horizontal="center" vertical="center"/>
    </xf>
    <xf numFmtId="41" fontId="31" fillId="0" borderId="39" xfId="2" applyFont="1" applyBorder="1" applyAlignment="1">
      <alignment horizontal="center" vertical="center"/>
    </xf>
    <xf numFmtId="41" fontId="31" fillId="0" borderId="5" xfId="2" applyFont="1" applyBorder="1" applyAlignment="1">
      <alignment horizontal="center" vertical="center"/>
    </xf>
    <xf numFmtId="41" fontId="31" fillId="0" borderId="41" xfId="2" applyFont="1" applyBorder="1" applyAlignment="1">
      <alignment horizontal="center" vertical="center"/>
    </xf>
    <xf numFmtId="31" fontId="31" fillId="0" borderId="16" xfId="0" applyNumberFormat="1" applyFont="1" applyBorder="1" applyAlignment="1">
      <alignment horizontal="center" vertical="center"/>
    </xf>
    <xf numFmtId="41" fontId="31" fillId="0" borderId="54" xfId="2" applyFont="1" applyBorder="1" applyAlignment="1">
      <alignment horizontal="center" vertical="center"/>
    </xf>
    <xf numFmtId="41" fontId="31" fillId="0" borderId="47" xfId="2" applyFont="1" applyBorder="1" applyAlignment="1">
      <alignment horizontal="center" vertical="center"/>
    </xf>
  </cellXfs>
  <cellStyles count="11">
    <cellStyle name="쉼표 [0]" xfId="1" builtinId="6"/>
    <cellStyle name="쉼표 [0] 2" xfId="2" xr:uid="{00000000-0005-0000-0000-000001000000}"/>
    <cellStyle name="쉼표 [0] 3" xfId="3" xr:uid="{00000000-0005-0000-0000-000002000000}"/>
    <cellStyle name="쉼표 [0] 4" xfId="10" xr:uid="{00000000-0005-0000-0000-000003000000}"/>
    <cellStyle name="통화 [0] 2" xfId="4" xr:uid="{00000000-0005-0000-0000-000004000000}"/>
    <cellStyle name="표준" xfId="0" builtinId="0"/>
    <cellStyle name="표준 2" xfId="5" xr:uid="{00000000-0005-0000-0000-000006000000}"/>
    <cellStyle name="표준 3" xfId="6" xr:uid="{00000000-0005-0000-0000-000007000000}"/>
    <cellStyle name="표준 4" xfId="7" xr:uid="{00000000-0005-0000-0000-000008000000}"/>
    <cellStyle name="표준 5" xfId="8" xr:uid="{00000000-0005-0000-0000-000009000000}"/>
    <cellStyle name="표준 6" xfId="9" xr:uid="{00000000-0005-0000-0000-00000A000000}"/>
  </cellStyles>
  <dxfs count="27">
    <dxf>
      <fill>
        <patternFill>
          <bgColor rgb="FFA8D08E"/>
        </patternFill>
      </fill>
    </dxf>
    <dxf>
      <font>
        <sz val="11"/>
      </font>
    </dxf>
    <dxf>
      <fill>
        <patternFill>
          <bgColor rgb="FFA8D08E"/>
        </patternFill>
      </fill>
    </dxf>
    <dxf>
      <font>
        <sz val="11"/>
      </font>
    </dxf>
    <dxf>
      <fill>
        <patternFill>
          <bgColor rgb="FFA8D08E"/>
        </patternFill>
      </fill>
    </dxf>
    <dxf>
      <font>
        <sz val="11"/>
      </font>
    </dxf>
    <dxf>
      <fill>
        <patternFill>
          <bgColor rgb="FFA8D08E"/>
        </patternFill>
      </fill>
    </dxf>
    <dxf>
      <font>
        <sz val="11"/>
      </font>
    </dxf>
    <dxf>
      <fill>
        <patternFill>
          <bgColor rgb="FFA8D08E"/>
        </patternFill>
      </fill>
    </dxf>
    <dxf>
      <font>
        <sz val="11"/>
      </font>
    </dxf>
    <dxf>
      <font>
        <sz val="11"/>
      </font>
    </dxf>
    <dxf>
      <fill>
        <patternFill>
          <bgColor rgb="FFA8D08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shrinkToFit="0" readingOrder="0"/>
    </dxf>
    <dxf>
      <alignment shrinkToFit="0" readingOrder="0"/>
    </dxf>
    <dxf>
      <font>
        <sz val="10"/>
      </font>
    </dxf>
    <dxf>
      <font>
        <sz val="10"/>
      </font>
    </dxf>
    <dxf>
      <alignment shrinkToFit="1" readingOrder="0"/>
    </dxf>
    <dxf>
      <alignment shrinkToFit="1" readingOrder="0"/>
    </dxf>
    <dxf>
      <alignment shrinkToFit="1" readingOrder="0"/>
    </dxf>
    <dxf>
      <font>
        <sz val="8"/>
      </font>
    </dxf>
    <dxf>
      <font>
        <sz val="8"/>
      </font>
    </dxf>
    <dxf>
      <font>
        <sz val="8"/>
      </font>
    </dxf>
    <dxf>
      <alignment shrinkToFit="1" readingOrder="0"/>
    </dxf>
    <dxf>
      <alignment shrinkToFit="1" readingOrder="0"/>
    </dxf>
    <dxf>
      <alignment shrinkToFit="1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박원근" refreshedDate="46061.688810185187" createdVersion="8" refreshedVersion="8" minRefreshableVersion="3" recordCount="397" xr:uid="{00000000-000A-0000-FFFF-FFFF16000000}">
  <cacheSource type="worksheet">
    <worksheetSource ref="B2:V65955" sheet="2026년 헌금 전체 누계"/>
  </cacheSource>
  <cacheFields count="21">
    <cacheField name="헌금일" numFmtId="0">
      <sharedItems containsDate="1" containsBlank="1" containsMixedTypes="1" minDate="2026-01-01T00:00:00" maxDate="2026-02-08T00:00:00"/>
    </cacheField>
    <cacheField name="월" numFmtId="0">
      <sharedItems containsString="0" containsBlank="1" containsNumber="1" containsInteger="1" minValue="1" maxValue="12" count="13">
        <n v="1"/>
        <m/>
        <n v="2"/>
        <n v="5" u="1"/>
        <n v="6" u="1"/>
        <n v="7" u="1"/>
        <n v="3" u="1"/>
        <n v="8" u="1"/>
        <n v="9" u="1"/>
        <n v="10" u="1"/>
        <n v="11" u="1"/>
        <n v="4" u="1"/>
        <n v="12" u="1"/>
      </sharedItems>
    </cacheField>
    <cacheField name="봉투_x000a_번호" numFmtId="0">
      <sharedItems containsBlank="1" containsMixedTypes="1" containsNumber="1" containsInteger="1" minValue="1" maxValue="79"/>
    </cacheField>
    <cacheField name="이  름" numFmtId="0">
      <sharedItems containsBlank="1" count="430">
        <s v="서영석"/>
        <s v="박복남"/>
        <s v="최순임"/>
        <s v="최백숙"/>
        <s v="김상금"/>
        <s v="김정순"/>
        <s v="김명선"/>
        <s v="노부남"/>
        <s v="권유희"/>
        <s v="김외숙"/>
        <s v="이문자"/>
        <s v="김점자"/>
        <s v="노무연"/>
        <s v="김숙희"/>
        <s v="김민경"/>
        <s v="김동순"/>
        <s v="최정숙"/>
        <s v="김재홍"/>
        <s v="김종증"/>
        <s v="조정환"/>
        <s v="장관익"/>
        <s v="익명"/>
        <e v="#N/A"/>
        <s v="하종구"/>
        <s v="서우진"/>
        <s v="손경희"/>
        <s v="손정한"/>
        <s v="서일환"/>
        <s v="이채은"/>
        <s v="류순주"/>
        <s v="서병욱"/>
        <s v="유초등부잔액"/>
        <s v="엽진숙"/>
        <s v="임원수련석식비반환"/>
        <s v="홍성범"/>
        <s v="최준서"/>
        <s v="전영애"/>
        <s v="김대호"/>
        <s v="최화경"/>
        <s v="배윤하"/>
        <s v="서기환"/>
        <s v="김양곤"/>
        <s v="조수자"/>
        <s v="김재룡"/>
        <s v="이지영2"/>
        <s v="조은지"/>
        <s v="이나은"/>
        <s v="손정미"/>
        <s v="김연지"/>
        <s v="서다혜"/>
        <s v="임원수련회비"/>
        <s v="김주현"/>
        <s v="성도다이어리"/>
        <s v="동계현장접수비"/>
        <s v="동계헌금계좌이체"/>
        <s v="동계경남고성매점"/>
        <s v="동계머그컵수익"/>
        <s v="진찬식"/>
        <s v="조명임"/>
        <s v="박원배"/>
        <s v="김미옥"/>
        <s v="오민혁"/>
        <s v="양인수"/>
        <s v="김상호"/>
        <s v="박종한"/>
        <s v="장연지"/>
        <s v="박민경"/>
        <s v="이재경"/>
        <s v="김종준"/>
        <s v="양재혁"/>
        <s v="주경숙"/>
        <s v="양향미"/>
        <s v="봉사회말씀선물"/>
        <s v="이말연"/>
        <s v="이윤옥"/>
        <s v="이미화"/>
        <s v="서부돌"/>
        <s v="김선우"/>
        <s v="이학순"/>
        <s v="김영은"/>
        <s v="최난영"/>
        <s v="장수영"/>
        <s v="최정희"/>
        <s v="김성권"/>
        <s v="진봉덕"/>
        <s v="임영택"/>
        <s v="한윤숙"/>
        <s v="조성민"/>
        <s v="김성령"/>
        <s v="채병연"/>
        <s v="전쾌수"/>
        <s v="유초등부"/>
        <s v="한철인P"/>
        <s v="조동주"/>
        <s v="하화자"/>
        <s v="김나용"/>
        <s v="김형신"/>
        <s v="김경아"/>
        <s v="오민성"/>
        <s v="진현조"/>
        <s v="한상미"/>
        <s v="황규진"/>
        <s v="오주홍"/>
        <s v="이순영"/>
        <s v="우경태"/>
        <s v="김종웅"/>
        <s v="김정미"/>
        <s v="배미숙"/>
        <s v="손미영"/>
        <s v="이한나"/>
        <s v="안선희"/>
        <s v="송근식"/>
        <s v="이수연"/>
        <s v="곽상호"/>
        <s v="윤영희"/>
        <s v="이정화"/>
        <s v="김용택"/>
        <s v="서금자"/>
        <s v="김성임"/>
        <s v="김해은"/>
        <s v="김재수"/>
        <s v="장정이"/>
        <s v="백미자"/>
        <s v="송연호"/>
        <s v="중고등부"/>
        <s v="채경원"/>
        <s v="김형석"/>
        <s v="양은형"/>
        <s v="김영재"/>
        <s v="김동환"/>
        <s v="김정문"/>
        <s v="온주란"/>
        <s v="이지영1"/>
        <s v="안진숙"/>
        <s v="청년회집회헌금"/>
        <s v="서순희"/>
        <s v="11구역집회헌금"/>
        <s v="장재희"/>
        <s v="장승호"/>
        <s v="31구역집회헌금"/>
        <s v="강승윤"/>
        <s v="양애란"/>
        <s v="김만영"/>
        <s v="홍금숙"/>
        <s v="박미옥"/>
        <s v="서동진"/>
        <s v="송영화"/>
        <s v="안경희"/>
        <s v="임정숙"/>
        <s v="정민구"/>
        <s v="이정형"/>
        <s v="임준석"/>
        <s v="박춘련"/>
        <s v="이예담"/>
        <s v="42구역집회헌금"/>
        <s v="오주은"/>
        <s v="김현숙"/>
        <s v="오은경"/>
        <s v="김춘순"/>
        <s v="동계헌금"/>
        <s v="대집회식대반환"/>
        <s v="전이우"/>
        <s v="조은빈"/>
        <s v="최복남"/>
        <s v="정영희"/>
        <s v="유이순"/>
        <s v="배종찬"/>
        <s v="박경자"/>
        <s v="이흥삼"/>
        <s v="임정순"/>
        <s v="밀양교회(청년회)"/>
        <s v="밀양교회(김형준)"/>
        <s v="밀양교회"/>
        <s v="조영미"/>
        <s v="김동현"/>
        <s v="구민숙"/>
        <s v="조재근"/>
        <s v="최미선"/>
        <s v="32구역집회헌금"/>
        <s v="오창열"/>
        <s v="21구역집회헌금"/>
        <s v="김해시청소년수련관"/>
        <s v="고현민"/>
        <s v="윤경일"/>
        <s v="이옥임"/>
        <s v="이순애"/>
        <s v="김창근"/>
        <s v="김선희"/>
        <s v="신두호"/>
        <s v="윤정란"/>
        <s v="김병훈"/>
        <s v="카페수입금"/>
        <s v="43구역집회헌금"/>
        <s v="황윤실"/>
        <s v="조정화"/>
        <s v="22구역집회헌금"/>
        <s v="12구역집회헌금"/>
        <s v="최미영"/>
        <s v="창원중부교회"/>
        <s v="이희출"/>
        <s v="고철판매수입금"/>
        <s v="박현숙"/>
        <m/>
        <s v="감애옥"/>
        <s v="서순자"/>
        <s v="김옥례"/>
        <s v="노증미"/>
        <s v="최수정"/>
        <s v="이석찬"/>
        <s v="정대림"/>
        <s v="김삼중"/>
        <s v="시흥교회(박명선s)"/>
        <s v="정성수p"/>
        <s v="정선웅"/>
        <s v="김영수"/>
        <s v="장예슬"/>
        <s v="조민경"/>
        <s v="박하나"/>
        <s v="손은율"/>
        <s v="전병철"/>
        <s v="나효심"/>
        <s v="서종호"/>
        <s v="고철판매수입"/>
        <s v="박성찬"/>
        <s v="마산교회"/>
        <s v="임용열"/>
        <s v="김동순사모님환불"/>
        <s v="양현직" u="1"/>
        <s v="최경숙" u="1"/>
        <s v="교회학교집회반환금" u="1"/>
        <s v="1,2교구차비" u="1"/>
        <s v="43구역창녕집회" u="1"/>
        <s v="대전ch윤영선e" u="1"/>
        <s v="백재민" u="1"/>
        <s v="22구역회비잔액" u="1"/>
        <s v="봉사회임원카페찬조" u="1"/>
        <s v="김일수" u="1"/>
        <s v="진해교회" u="1"/>
        <s v="은장회식사반환" u="1"/>
        <s v="이둘련" u="1"/>
        <s v="32구역창녕집회" u="1"/>
        <s v="대집회 잔액 반환" u="1"/>
        <s v="황다혜" u="1"/>
        <s v="퇴직적립금" u="1"/>
        <s v="동계총회지원금" u="1"/>
        <s v="양해윤" u="1"/>
        <s v="왕혜원" u="1"/>
        <s v="임기화" u="1"/>
        <s v="전민지" u="1"/>
        <s v="한연수" u="1"/>
        <s v="동게현장접수비" u="1"/>
        <s v="박정남b(북수원)" u="1"/>
        <s v="은장회" u="1"/>
        <s v="42구역" u="1"/>
        <s v="식당의자헌금" u="1"/>
        <s v="추계버스비" u="1"/>
        <s v="4차필리핀선교잔액" u="1"/>
        <s v="박성진p" u="1"/>
        <s v="정명진P(대구)" u="1"/>
        <s v="농선부달력" u="1"/>
        <s v="2교구창녕집회" u="1"/>
        <s v="대집회식대잔액" u="1"/>
        <s v="천안교회" u="1"/>
        <s v="4교구강당사용료" u="1"/>
        <s v="12구역전도비잔액" u="1"/>
        <s v="42구역은장회집회헌금" u="1"/>
        <s v="은장회교회학교책값" u="1"/>
        <s v="동읍집회주유비" u="1"/>
        <s v="서적부" u="1"/>
        <s v="윤혜주" u="1"/>
        <s v="이용민" u="1"/>
        <s v="12구역창녕집회" u="1"/>
        <s v="동계준비금" u="1"/>
        <s v="장례식차비지원(배종찬" u="1"/>
        <s v="이숙이" u="1"/>
        <s v="1교구주유비" u="1"/>
        <s v="41구역 집회 헌금" u="1"/>
        <s v="서치호" u="1"/>
        <s v="장준우" u="1"/>
        <s v="정병민p(광주수완)" u="1"/>
        <s v="김대원" u="1"/>
        <s v="판넬자재오류" u="1"/>
        <s v="43구역주유비" u="1"/>
        <s v="청)12월십일조" u="1"/>
        <s v="퀘존특별헌금이관" u="1"/>
        <s v="43구역 집회 헌금" u="1"/>
        <s v="김용범" u="1"/>
        <s v="황우성" u="1"/>
        <s v="42구역결산" u="1"/>
        <s v="4교구집회잔액" u="1"/>
        <s v="이병래" u="1"/>
        <s v="김현숙s(진주)" u="1"/>
        <s v="어머니야외교제차량" u="1"/>
        <s v="장세중" u="1"/>
        <s v="춘계차비" u="1"/>
        <s v="카페수익금" u="1"/>
        <s v="스피커대여료" u="1"/>
        <s v="중강당사용헌금" u="1"/>
        <s v="최용욱p(전주)" u="1"/>
        <s v="진주교회(김찬수E)" u="1"/>
        <s v="윤정훈" u="1"/>
        <s v="마산농협배당" u="1"/>
        <s v="스타렉스유류대" u="1"/>
        <s v="은잔회유류비" u="1"/>
        <s v="6/8준비총회차비" u="1"/>
        <s v="서부돌s심방유류비" u="1"/>
        <s v="이승목" u="1"/>
        <s v="전진복" u="1"/>
        <s v="정기준p" u="1"/>
        <s v="12구역회비자액" u="1"/>
        <s v="강병구p" u="1"/>
        <s v="건축이관" u="1"/>
        <s v="11구역은장회집회헌금" u="1"/>
        <s v="호크마(중)3권" u="1"/>
        <s v="유류대" u="1"/>
        <s v="밀양교회학교" u="1"/>
        <s v="펠로우십사용" u="1"/>
        <s v="하진" u="1"/>
        <s v="김대오" u="1"/>
        <s v="카렌다12부" u="1"/>
        <s v="고성교회이경자s" u="1"/>
        <s v="진주교회청년회" u="1"/>
        <s v="이상경p" u="1"/>
        <s v="성도수첩 8권판매" u="1"/>
        <s v="정종순" u="1"/>
        <s v="은혜찬송(중)61권" u="1"/>
        <s v="청년회" u="1"/>
        <s v="농선부차량비" u="1"/>
        <s v="3교구대집회헌금" u="1"/>
        <s v="42구역창녕집회" u="1"/>
        <s v="농선부지원금환입" u="1"/>
        <s v="황보혜" u="1"/>
        <s v="송연호b" u="1"/>
        <s v="동계포토존수익" u="1"/>
        <s v="21구역회비잔액" u="1"/>
        <s v="하게바자회" u="1"/>
        <s v="봉임야외교제교통비" u="1"/>
        <s v="황상진" u="1"/>
        <s v="31구역창녕집회" u="1"/>
        <s v="41구역집회헌금" u="1"/>
        <s v="김향자" u="1"/>
        <s v="이금분" u="1"/>
        <s v="렉산반환" u="1"/>
        <s v="김현숙(진주)" u="1"/>
        <s v="은장회집회헌금" u="1"/>
        <s v="지솔미" u="1"/>
        <s v="남우현b(서울강북)" u="1"/>
        <s v="예금이자" u="1"/>
        <s v="고성교회이정렬b" u="1"/>
        <s v="배경순" u="1"/>
        <s v="우호성" u="1"/>
        <s v="추계버스비이관" u="1"/>
        <s v="호크마(대)3권" u="1"/>
        <s v="1교구집회" u="1"/>
        <s v="창원중부" u="1"/>
        <s v="유이순부친상주유비" u="1"/>
        <s v="기타수입" u="1"/>
        <s v="달력대금" u="1"/>
        <s v="하계차비" u="1"/>
        <s v="임원수련잔액" u="1"/>
        <s v="유류비" u="1"/>
        <s v="에클레시아" u="1"/>
        <s v="동계식비반환" u="1"/>
        <s v="동계식비잔액" u="1"/>
        <s v="성도수첩대금" u="1"/>
        <s v="대여금(일반)" u="1"/>
        <s v="임한결" u="1"/>
        <s v="김덕수p" u="1"/>
        <s v="대집회잔액반환" u="1"/>
        <s v="박연선경남고성)" u="1"/>
        <s v="이정렬(경남고성)" u="1"/>
        <s v="동계매점수익" u="1"/>
        <s v="동읍집회" u="1"/>
        <s v="은장회주유비" u="1"/>
        <s v="11구역창녕집회" u="1"/>
        <s v="펠로십사용료" u="1"/>
        <s v="문경숙" u="1"/>
        <s v="바자회" u="1"/>
        <s v="서영균" u="1"/>
        <s v="경남고성교회" u="1"/>
        <s v="4교구주유비'" u="1"/>
        <s v="익명경남고성)" u="1"/>
        <s v="43구역은장회집회" u="1"/>
        <s v="추계전체교제비반환" u="1"/>
        <s v="21구역" u="1"/>
        <s v="진영지역집회" u="1"/>
        <s v="1교구교회당사용료" u="1"/>
        <s v="32구역은장회집회헌금" u="1"/>
        <s v="김희승" u="1"/>
        <s v="어머니회임원야외" u="1"/>
        <s v="창원중부교회학교" u="1"/>
        <s v="이경자(경남고성)" u="1"/>
        <s v="42구역 집회 헌금" u="1"/>
        <s v="은혜찬송(대)11권" u="1"/>
        <s v="동계기념품판매" u="1"/>
        <s v="이기남P" u="1"/>
        <s v="농선부유류대" u="1"/>
        <s v="25여름성경학교환급비" u="1"/>
        <s v="박순이" u="1"/>
        <s v="31구역전도지원금" u="1"/>
        <s v="백종애" u="1"/>
        <s v="김연숙p" u="1"/>
        <s v="최원재P" u="1"/>
        <s v="이벤트식비반환" u="1"/>
        <s v="경남고성집회헌금" u="1"/>
        <s v="박선경" u="1"/>
        <s v="왕순철" u="1"/>
        <s v="이영순" u="1"/>
        <s v="서천교회" u="1"/>
        <s v="조수진" u="1"/>
        <s v="고성교회" u="1"/>
        <s v="기도모임식비반납" u="1"/>
        <s v="교회학교집회식비" u="1"/>
        <s v="동계준비잔액반환" u="1"/>
        <s v="배준후" u="1"/>
        <s v="농선부잔액" u="1"/>
        <s v="양경준P" u="1"/>
        <s v="에금이자" u="1"/>
        <s v="최용화경남고성" u="1"/>
        <s v="필리핀선교잔액" u="1"/>
        <s v="31구역회비잔액" u="1"/>
        <s v="22구역 집회 헌금" u="1"/>
        <s v="4교구" u="1"/>
        <s v="김한의" u="1"/>
        <s v="대여금(건축)" u="1"/>
        <s v="김지현" u="1"/>
        <s v="친교부잔액" u="1"/>
        <s v="윤성민p" u="1"/>
        <s v="창녕집회헌금" u="1"/>
        <s v="41구역창녕집회" u="1"/>
      </sharedItems>
    </cacheField>
    <cacheField name="회 별" numFmtId="0">
      <sharedItems containsBlank="1" count="12">
        <s v="은장회"/>
        <s v="어머니회"/>
        <s v="봉사회"/>
        <m/>
        <e v="#N/A"/>
        <s v="청년회"/>
        <s v="유초등부"/>
        <s v="합계"/>
        <s v="중고등부"/>
        <s v="중고등주" u="1"/>
        <s v="초등부" u="1"/>
        <s v="청년희" u="1"/>
      </sharedItems>
    </cacheField>
    <cacheField name="구역" numFmtId="0">
      <sharedItems containsBlank="1" containsMixedTypes="1" containsNumber="1" containsInteger="1" minValue="11" maxValue="43"/>
    </cacheField>
    <cacheField name="이체_x000a_헌금" numFmtId="0">
      <sharedItems containsBlank="1"/>
    </cacheField>
    <cacheField name="십일조_x000a_(11000)" numFmtId="0">
      <sharedItems containsString="0" containsBlank="1" containsNumber="1" minValue="10" maxValue="31940.925999999999"/>
    </cacheField>
    <cacheField name="주일헌금_x000a_(11200)" numFmtId="0">
      <sharedItems containsString="0" containsBlank="1" containsNumber="1" minValue="1" maxValue="1803.6"/>
    </cacheField>
    <cacheField name="후원회비_x000a_(13000)" numFmtId="0">
      <sharedItems containsString="0" containsBlank="1" containsNumber="1" containsInteger="1" minValue="5" maxValue="5960"/>
    </cacheField>
    <cacheField name="집회헌금_x000a_(11400)" numFmtId="0">
      <sharedItems containsString="0" containsBlank="1" containsNumber="1" minValue="0" maxValue="5976.1190000000006"/>
    </cacheField>
    <cacheField name="감사헌금_x000a_(11100)" numFmtId="0">
      <sharedItems containsString="0" containsBlank="1" containsNumber="1" containsInteger="1" minValue="5" maxValue="2475"/>
    </cacheField>
    <cacheField name="기타헌금_x000a_(11500~_x000a_11999)" numFmtId="0">
      <sharedItems containsString="0" containsBlank="1" containsNumber="1" minValue="40" maxValue="1114.7660000000001"/>
    </cacheField>
    <cacheField name="건축헌금_x000a_(11300)" numFmtId="0">
      <sharedItems containsString="0" containsBlank="1" containsNumber="1" containsInteger="1" minValue="10" maxValue="15184"/>
    </cacheField>
    <cacheField name="선교회비_x000a_(12000)" numFmtId="0">
      <sharedItems containsString="0" containsBlank="1" containsNumber="1" containsInteger="1" minValue="1" maxValue="681"/>
    </cacheField>
    <cacheField name="세계선교_x000a_헌금_x000a_(12200)" numFmtId="0">
      <sharedItems containsString="0" containsBlank="1" containsNumber="1" containsInteger="1" minValue="5" maxValue="660"/>
    </cacheField>
    <cacheField name="사랑의헌금_x000a_(14000)" numFmtId="0">
      <sharedItems containsString="0" containsBlank="1" containsNumber="1" containsInteger="1" minValue="5" maxValue="230"/>
    </cacheField>
    <cacheField name="세계선교_x000a_분담금_x000a_(12100)" numFmtId="0">
      <sharedItems containsString="0" containsBlank="1" containsNumber="1" containsInteger="1" minValue="5" maxValue="8007"/>
    </cacheField>
    <cacheField name="기타수입_x000a_(23000~_x000a_25030)" numFmtId="0">
      <sharedItems containsString="0" containsBlank="1" containsNumber="1" minValue="6.5" maxValue="10961"/>
    </cacheField>
    <cacheField name="비   고" numFmtId="0">
      <sharedItems containsBlank="1" containsMixedTypes="1" containsNumber="1" containsInteger="1" minValue="0" maxValue="0"/>
    </cacheField>
    <cacheField name="헌금 합계" numFmtId="0">
      <sharedItems containsString="0" containsBlank="1" containsNumber="1" minValue="0" maxValue="89433.4110000000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7">
  <r>
    <d v="2026-01-04T00:00:00"/>
    <x v="0"/>
    <s v="3-"/>
    <x v="0"/>
    <x v="0"/>
    <n v="43"/>
    <m/>
    <n v="50"/>
    <m/>
    <m/>
    <m/>
    <m/>
    <m/>
    <m/>
    <m/>
    <m/>
    <m/>
    <m/>
    <m/>
    <m/>
    <n v="50"/>
  </r>
  <r>
    <d v="2026-01-04T00:00:00"/>
    <x v="0"/>
    <s v="13-"/>
    <x v="1"/>
    <x v="0"/>
    <n v="42"/>
    <m/>
    <n v="10"/>
    <m/>
    <m/>
    <m/>
    <m/>
    <m/>
    <m/>
    <m/>
    <m/>
    <m/>
    <m/>
    <m/>
    <m/>
    <n v="10"/>
  </r>
  <r>
    <d v="2026-01-04T00:00:00"/>
    <x v="0"/>
    <s v="42-"/>
    <x v="2"/>
    <x v="0"/>
    <n v="31"/>
    <m/>
    <n v="50"/>
    <m/>
    <m/>
    <m/>
    <m/>
    <m/>
    <m/>
    <m/>
    <m/>
    <m/>
    <m/>
    <m/>
    <m/>
    <n v="50"/>
  </r>
  <r>
    <d v="2026-01-04T00:00:00"/>
    <x v="0"/>
    <s v="24-"/>
    <x v="3"/>
    <x v="0"/>
    <n v="42"/>
    <m/>
    <m/>
    <n v="10"/>
    <m/>
    <m/>
    <m/>
    <m/>
    <m/>
    <n v="40"/>
    <m/>
    <m/>
    <m/>
    <m/>
    <m/>
    <n v="50"/>
  </r>
  <r>
    <d v="2026-01-04T00:00:00"/>
    <x v="0"/>
    <s v="4-"/>
    <x v="4"/>
    <x v="0"/>
    <n v="43"/>
    <m/>
    <n v="20"/>
    <m/>
    <m/>
    <m/>
    <m/>
    <m/>
    <m/>
    <m/>
    <m/>
    <m/>
    <n v="10"/>
    <m/>
    <m/>
    <n v="30"/>
  </r>
  <r>
    <d v="2026-01-04T00:00:00"/>
    <x v="0"/>
    <s v="30-"/>
    <x v="5"/>
    <x v="0"/>
    <n v="42"/>
    <m/>
    <n v="20"/>
    <m/>
    <m/>
    <m/>
    <m/>
    <m/>
    <m/>
    <m/>
    <m/>
    <m/>
    <m/>
    <m/>
    <m/>
    <n v="20"/>
  </r>
  <r>
    <d v="2026-01-04T00:00:00"/>
    <x v="0"/>
    <s v="35-"/>
    <x v="6"/>
    <x v="0"/>
    <n v="32"/>
    <m/>
    <n v="10"/>
    <m/>
    <m/>
    <m/>
    <m/>
    <m/>
    <m/>
    <m/>
    <m/>
    <m/>
    <m/>
    <m/>
    <m/>
    <n v="10"/>
  </r>
  <r>
    <d v="2026-01-04T00:00:00"/>
    <x v="0"/>
    <s v="29-"/>
    <x v="7"/>
    <x v="0"/>
    <n v="32"/>
    <m/>
    <m/>
    <n v="10"/>
    <m/>
    <m/>
    <m/>
    <m/>
    <m/>
    <m/>
    <m/>
    <m/>
    <m/>
    <m/>
    <m/>
    <n v="10"/>
  </r>
  <r>
    <d v="2026-01-04T00:00:00"/>
    <x v="0"/>
    <s v="1-"/>
    <x v="8"/>
    <x v="0"/>
    <n v="42"/>
    <m/>
    <n v="10"/>
    <m/>
    <m/>
    <m/>
    <m/>
    <m/>
    <m/>
    <m/>
    <m/>
    <m/>
    <m/>
    <m/>
    <m/>
    <n v="10"/>
  </r>
  <r>
    <d v="2026-01-04T00:00:00"/>
    <x v="0"/>
    <s v="7-"/>
    <x v="9"/>
    <x v="0"/>
    <n v="31"/>
    <m/>
    <n v="100"/>
    <m/>
    <m/>
    <m/>
    <m/>
    <m/>
    <m/>
    <m/>
    <m/>
    <m/>
    <m/>
    <m/>
    <m/>
    <n v="100"/>
  </r>
  <r>
    <d v="2026-01-04T00:00:00"/>
    <x v="0"/>
    <s v="22-"/>
    <x v="10"/>
    <x v="0"/>
    <n v="21"/>
    <m/>
    <n v="20"/>
    <m/>
    <m/>
    <m/>
    <m/>
    <m/>
    <m/>
    <m/>
    <m/>
    <m/>
    <m/>
    <m/>
    <m/>
    <n v="20"/>
  </r>
  <r>
    <d v="2026-01-04T00:00:00"/>
    <x v="0"/>
    <s v="9-"/>
    <x v="11"/>
    <x v="0"/>
    <n v="21"/>
    <m/>
    <m/>
    <m/>
    <m/>
    <m/>
    <n v="20"/>
    <m/>
    <m/>
    <m/>
    <m/>
    <m/>
    <m/>
    <m/>
    <m/>
    <n v="20"/>
  </r>
  <r>
    <d v="2026-01-04T00:00:00"/>
    <x v="0"/>
    <s v="12-"/>
    <x v="12"/>
    <x v="0"/>
    <n v="12"/>
    <m/>
    <n v="10"/>
    <n v="70"/>
    <m/>
    <m/>
    <m/>
    <m/>
    <m/>
    <m/>
    <m/>
    <m/>
    <m/>
    <m/>
    <m/>
    <n v="80"/>
  </r>
  <r>
    <d v="2026-01-04T00:00:00"/>
    <x v="0"/>
    <s v="6-"/>
    <x v="13"/>
    <x v="0"/>
    <n v="32"/>
    <m/>
    <n v="100"/>
    <n v="10"/>
    <n v="10"/>
    <n v="10"/>
    <n v="10"/>
    <m/>
    <n v="10"/>
    <n v="10"/>
    <n v="10"/>
    <n v="10"/>
    <m/>
    <m/>
    <m/>
    <n v="180"/>
  </r>
  <r>
    <d v="2026-01-04T00:00:00"/>
    <x v="0"/>
    <s v="42-"/>
    <x v="2"/>
    <x v="0"/>
    <n v="31"/>
    <m/>
    <m/>
    <m/>
    <m/>
    <m/>
    <m/>
    <m/>
    <m/>
    <m/>
    <m/>
    <m/>
    <n v="20"/>
    <m/>
    <m/>
    <n v="20"/>
  </r>
  <r>
    <d v="2026-01-04T00:00:00"/>
    <x v="0"/>
    <s v="69*"/>
    <x v="14"/>
    <x v="1"/>
    <n v="11"/>
    <m/>
    <m/>
    <m/>
    <m/>
    <m/>
    <m/>
    <m/>
    <m/>
    <m/>
    <m/>
    <m/>
    <m/>
    <m/>
    <m/>
    <n v="0"/>
  </r>
  <r>
    <d v="2026-01-04T00:00:00"/>
    <x v="0"/>
    <s v="1*"/>
    <x v="15"/>
    <x v="1"/>
    <n v="11"/>
    <m/>
    <m/>
    <n v="10"/>
    <m/>
    <m/>
    <m/>
    <m/>
    <m/>
    <m/>
    <m/>
    <m/>
    <m/>
    <m/>
    <m/>
    <n v="10"/>
  </r>
  <r>
    <d v="2026-01-04T00:00:00"/>
    <x v="0"/>
    <s v="103*"/>
    <x v="16"/>
    <x v="1"/>
    <n v="33"/>
    <m/>
    <m/>
    <n v="20"/>
    <m/>
    <m/>
    <m/>
    <m/>
    <m/>
    <m/>
    <m/>
    <m/>
    <m/>
    <m/>
    <m/>
    <n v="20"/>
  </r>
  <r>
    <d v="2026-01-04T00:00:00"/>
    <x v="0"/>
    <n v="14"/>
    <x v="17"/>
    <x v="2"/>
    <n v="21"/>
    <m/>
    <m/>
    <n v="10"/>
    <m/>
    <m/>
    <m/>
    <m/>
    <m/>
    <m/>
    <m/>
    <m/>
    <m/>
    <m/>
    <m/>
    <n v="10"/>
  </r>
  <r>
    <d v="2026-01-04T00:00:00"/>
    <x v="0"/>
    <n v="72"/>
    <x v="18"/>
    <x v="2"/>
    <n v="41"/>
    <m/>
    <m/>
    <n v="10"/>
    <m/>
    <m/>
    <m/>
    <m/>
    <m/>
    <m/>
    <m/>
    <m/>
    <m/>
    <m/>
    <m/>
    <n v="10"/>
  </r>
  <r>
    <d v="2026-01-04T00:00:00"/>
    <x v="0"/>
    <n v="57"/>
    <x v="19"/>
    <x v="2"/>
    <n v="41"/>
    <m/>
    <m/>
    <n v="10"/>
    <m/>
    <m/>
    <m/>
    <m/>
    <m/>
    <n v="10"/>
    <n v="30"/>
    <m/>
    <m/>
    <m/>
    <m/>
    <n v="50"/>
  </r>
  <r>
    <d v="2026-01-04T00:00:00"/>
    <x v="0"/>
    <n v="1"/>
    <x v="20"/>
    <x v="2"/>
    <n v="11"/>
    <m/>
    <m/>
    <n v="10"/>
    <m/>
    <m/>
    <m/>
    <m/>
    <m/>
    <m/>
    <m/>
    <m/>
    <m/>
    <m/>
    <m/>
    <n v="10"/>
  </r>
  <r>
    <d v="2026-01-04T00:00:00"/>
    <x v="0"/>
    <m/>
    <x v="21"/>
    <x v="3"/>
    <m/>
    <m/>
    <m/>
    <n v="30"/>
    <m/>
    <m/>
    <m/>
    <m/>
    <m/>
    <m/>
    <m/>
    <m/>
    <m/>
    <m/>
    <m/>
    <n v="30"/>
  </r>
  <r>
    <d v="2026-01-01T00:00:00"/>
    <x v="0"/>
    <m/>
    <x v="22"/>
    <x v="4"/>
    <e v="#N/A"/>
    <s v="이체"/>
    <m/>
    <m/>
    <m/>
    <m/>
    <m/>
    <m/>
    <m/>
    <m/>
    <m/>
    <m/>
    <m/>
    <n v="50"/>
    <s v="비타민 구입비"/>
    <n v="50"/>
  </r>
  <r>
    <d v="2026-01-01T00:00:00"/>
    <x v="0"/>
    <n v="61"/>
    <x v="23"/>
    <x v="2"/>
    <n v="32"/>
    <s v="이체"/>
    <n v="250"/>
    <m/>
    <m/>
    <m/>
    <m/>
    <m/>
    <m/>
    <m/>
    <m/>
    <m/>
    <m/>
    <m/>
    <m/>
    <n v="250"/>
  </r>
  <r>
    <d v="2026-01-01T00:00:00"/>
    <x v="0"/>
    <s v="24+"/>
    <x v="24"/>
    <x v="5"/>
    <n v="11"/>
    <s v="이체"/>
    <n v="150"/>
    <m/>
    <m/>
    <m/>
    <m/>
    <m/>
    <m/>
    <m/>
    <m/>
    <m/>
    <m/>
    <m/>
    <m/>
    <n v="150"/>
  </r>
  <r>
    <d v="2026-01-01T00:00:00"/>
    <x v="0"/>
    <s v="29*"/>
    <x v="25"/>
    <x v="1"/>
    <n v="32"/>
    <s v="이체"/>
    <n v="150"/>
    <m/>
    <m/>
    <m/>
    <m/>
    <m/>
    <m/>
    <m/>
    <n v="80"/>
    <m/>
    <m/>
    <m/>
    <m/>
    <n v="230"/>
  </r>
  <r>
    <d v="2026-01-01T00:00:00"/>
    <x v="0"/>
    <m/>
    <x v="22"/>
    <x v="4"/>
    <e v="#N/A"/>
    <s v="이체"/>
    <m/>
    <m/>
    <m/>
    <m/>
    <m/>
    <m/>
    <m/>
    <m/>
    <m/>
    <m/>
    <m/>
    <n v="125"/>
    <s v="비타민 구입비"/>
    <n v="125"/>
  </r>
  <r>
    <d v="2026-01-02T00:00:00"/>
    <x v="0"/>
    <n v="27"/>
    <x v="26"/>
    <x v="2"/>
    <n v="43"/>
    <s v="이체"/>
    <n v="540"/>
    <n v="40"/>
    <n v="40"/>
    <m/>
    <m/>
    <m/>
    <n v="700"/>
    <m/>
    <n v="100"/>
    <n v="20"/>
    <n v="20"/>
    <m/>
    <s v="부지매입"/>
    <n v="1460"/>
  </r>
  <r>
    <d v="2026-01-02T00:00:00"/>
    <x v="0"/>
    <n v="25"/>
    <x v="27"/>
    <x v="2"/>
    <n v="11"/>
    <s v="이체"/>
    <n v="500"/>
    <m/>
    <m/>
    <m/>
    <m/>
    <m/>
    <m/>
    <m/>
    <m/>
    <m/>
    <m/>
    <m/>
    <m/>
    <n v="500"/>
  </r>
  <r>
    <d v="2026-01-02T00:00:00"/>
    <x v="0"/>
    <s v="59+"/>
    <x v="28"/>
    <x v="5"/>
    <n v="42"/>
    <s v="이체"/>
    <m/>
    <m/>
    <m/>
    <m/>
    <m/>
    <m/>
    <n v="150"/>
    <m/>
    <m/>
    <m/>
    <m/>
    <m/>
    <s v="부지매입"/>
    <n v="150"/>
  </r>
  <r>
    <d v="2026-01-03T00:00:00"/>
    <x v="0"/>
    <s v="89*"/>
    <x v="29"/>
    <x v="1"/>
    <n v="12"/>
    <s v="이체"/>
    <n v="50"/>
    <m/>
    <m/>
    <m/>
    <m/>
    <m/>
    <m/>
    <m/>
    <m/>
    <m/>
    <m/>
    <m/>
    <m/>
    <n v="50"/>
  </r>
  <r>
    <d v="2026-01-03T00:00:00"/>
    <x v="0"/>
    <s v="22+"/>
    <x v="30"/>
    <x v="5"/>
    <n v="11"/>
    <s v="이체"/>
    <n v="100"/>
    <m/>
    <m/>
    <m/>
    <m/>
    <n v="200"/>
    <n v="1500"/>
    <m/>
    <m/>
    <m/>
    <m/>
    <m/>
    <s v="승강기,부지매입"/>
    <n v="1800"/>
  </r>
  <r>
    <d v="2026-01-03T00:00:00"/>
    <x v="0"/>
    <m/>
    <x v="31"/>
    <x v="6"/>
    <m/>
    <s v="이체"/>
    <m/>
    <m/>
    <m/>
    <m/>
    <m/>
    <n v="154.76599999999999"/>
    <m/>
    <m/>
    <m/>
    <m/>
    <m/>
    <m/>
    <s v="유초등부잔액"/>
    <n v="154.76599999999999"/>
  </r>
  <r>
    <d v="2026-01-03T00:00:00"/>
    <x v="0"/>
    <s v="38*"/>
    <x v="32"/>
    <x v="1"/>
    <n v="21"/>
    <s v="이체"/>
    <n v="50"/>
    <m/>
    <m/>
    <m/>
    <m/>
    <m/>
    <m/>
    <m/>
    <m/>
    <m/>
    <m/>
    <m/>
    <m/>
    <n v="50"/>
  </r>
  <r>
    <d v="2026-01-03T00:00:00"/>
    <x v="0"/>
    <m/>
    <x v="33"/>
    <x v="3"/>
    <m/>
    <s v="이체"/>
    <m/>
    <m/>
    <m/>
    <m/>
    <m/>
    <m/>
    <m/>
    <m/>
    <m/>
    <m/>
    <m/>
    <n v="50"/>
    <s v="임원수련석식비반환"/>
    <n v="50"/>
  </r>
  <r>
    <d v="2026-01-04T00:00:00"/>
    <x v="0"/>
    <s v="67*"/>
    <x v="34"/>
    <x v="1"/>
    <n v="11"/>
    <s v="이체"/>
    <n v="50"/>
    <m/>
    <m/>
    <m/>
    <m/>
    <m/>
    <m/>
    <m/>
    <m/>
    <m/>
    <m/>
    <m/>
    <m/>
    <n v="50"/>
  </r>
  <r>
    <d v="2026-01-04T00:00:00"/>
    <x v="0"/>
    <n v="60"/>
    <x v="35"/>
    <x v="2"/>
    <n v="22"/>
    <s v="이체"/>
    <n v="1000"/>
    <m/>
    <m/>
    <m/>
    <m/>
    <m/>
    <m/>
    <m/>
    <m/>
    <m/>
    <m/>
    <m/>
    <m/>
    <n v="1000"/>
  </r>
  <r>
    <d v="2026-01-04T00:00:00"/>
    <x v="0"/>
    <s v="93*"/>
    <x v="36"/>
    <x v="1"/>
    <n v="41"/>
    <s v="이체"/>
    <n v="100"/>
    <n v="40"/>
    <m/>
    <m/>
    <m/>
    <m/>
    <m/>
    <n v="20"/>
    <m/>
    <m/>
    <n v="60"/>
    <m/>
    <m/>
    <n v="220"/>
  </r>
  <r>
    <d v="2026-01-04T00:00:00"/>
    <x v="0"/>
    <n v="75"/>
    <x v="37"/>
    <x v="2"/>
    <n v="42"/>
    <s v="이체"/>
    <n v="300"/>
    <m/>
    <m/>
    <m/>
    <m/>
    <m/>
    <m/>
    <m/>
    <m/>
    <m/>
    <m/>
    <m/>
    <m/>
    <n v="300"/>
  </r>
  <r>
    <d v="2026-01-04T00:00:00"/>
    <x v="0"/>
    <s v="97*"/>
    <x v="38"/>
    <x v="1"/>
    <n v="42"/>
    <s v="이체"/>
    <n v="100"/>
    <m/>
    <m/>
    <m/>
    <m/>
    <m/>
    <m/>
    <m/>
    <m/>
    <m/>
    <m/>
    <m/>
    <m/>
    <n v="100"/>
  </r>
  <r>
    <d v="2026-01-04T00:00:00"/>
    <x v="0"/>
    <s v="26*"/>
    <x v="39"/>
    <x v="1"/>
    <n v="43"/>
    <s v="이체"/>
    <n v="250"/>
    <m/>
    <m/>
    <m/>
    <m/>
    <m/>
    <m/>
    <m/>
    <m/>
    <m/>
    <m/>
    <m/>
    <m/>
    <n v="250"/>
  </r>
  <r>
    <d v="2026-01-04T00:00:00"/>
    <x v="0"/>
    <n v="77"/>
    <x v="40"/>
    <x v="2"/>
    <n v="32"/>
    <s v="이체"/>
    <n v="200"/>
    <m/>
    <m/>
    <m/>
    <m/>
    <m/>
    <m/>
    <m/>
    <m/>
    <m/>
    <m/>
    <m/>
    <m/>
    <n v="200"/>
  </r>
  <r>
    <d v="2026-01-04T00:00:00"/>
    <x v="0"/>
    <n v="6"/>
    <x v="41"/>
    <x v="2"/>
    <n v="41"/>
    <s v="이체"/>
    <n v="350"/>
    <n v="5"/>
    <n v="5"/>
    <n v="5"/>
    <n v="5"/>
    <m/>
    <m/>
    <n v="5"/>
    <n v="5"/>
    <m/>
    <m/>
    <m/>
    <m/>
    <n v="380"/>
  </r>
  <r>
    <d v="2026-01-04T00:00:00"/>
    <x v="0"/>
    <s v="55*"/>
    <x v="42"/>
    <x v="1"/>
    <n v="12"/>
    <s v="이체"/>
    <n v="100"/>
    <m/>
    <m/>
    <m/>
    <m/>
    <m/>
    <n v="200"/>
    <m/>
    <m/>
    <m/>
    <m/>
    <m/>
    <s v="부지매입"/>
    <n v="300"/>
  </r>
  <r>
    <d v="2026-01-04T00:00:00"/>
    <x v="0"/>
    <s v="29*"/>
    <x v="25"/>
    <x v="1"/>
    <n v="32"/>
    <s v="이체"/>
    <m/>
    <n v="20"/>
    <m/>
    <m/>
    <m/>
    <m/>
    <m/>
    <m/>
    <m/>
    <m/>
    <n v="40"/>
    <m/>
    <s v="리느에르,퀘존"/>
    <n v="60"/>
  </r>
  <r>
    <d v="2026-01-04T00:00:00"/>
    <x v="0"/>
    <s v="43-"/>
    <x v="43"/>
    <x v="0"/>
    <n v="43"/>
    <s v="이체"/>
    <m/>
    <m/>
    <m/>
    <m/>
    <m/>
    <m/>
    <n v="30"/>
    <m/>
    <m/>
    <m/>
    <m/>
    <m/>
    <m/>
    <n v="30"/>
  </r>
  <r>
    <d v="2026-01-04T00:00:00"/>
    <x v="0"/>
    <s v="34+"/>
    <x v="44"/>
    <x v="5"/>
    <n v="43"/>
    <s v="이체"/>
    <n v="300"/>
    <n v="3"/>
    <m/>
    <m/>
    <m/>
    <m/>
    <m/>
    <m/>
    <m/>
    <m/>
    <m/>
    <m/>
    <m/>
    <n v="303"/>
  </r>
  <r>
    <d v="2026-01-04T00:00:00"/>
    <x v="0"/>
    <s v="54+"/>
    <x v="45"/>
    <x v="5"/>
    <n v="12"/>
    <s v="이체"/>
    <m/>
    <n v="10"/>
    <m/>
    <m/>
    <m/>
    <m/>
    <m/>
    <m/>
    <m/>
    <m/>
    <m/>
    <m/>
    <m/>
    <n v="10"/>
  </r>
  <r>
    <d v="2026-01-04T00:00:00"/>
    <x v="0"/>
    <s v="57+"/>
    <x v="46"/>
    <x v="5"/>
    <n v="11"/>
    <s v="이체"/>
    <n v="244.7"/>
    <m/>
    <m/>
    <m/>
    <m/>
    <m/>
    <m/>
    <m/>
    <m/>
    <m/>
    <m/>
    <m/>
    <m/>
    <n v="244.7"/>
  </r>
  <r>
    <d v="2026-01-05T00:00:00"/>
    <x v="0"/>
    <s v="32*"/>
    <x v="47"/>
    <x v="1"/>
    <n v="11"/>
    <s v="이체"/>
    <n v="70"/>
    <m/>
    <m/>
    <m/>
    <m/>
    <m/>
    <m/>
    <m/>
    <m/>
    <m/>
    <m/>
    <m/>
    <m/>
    <n v="70"/>
  </r>
  <r>
    <d v="2026-01-05T00:00:00"/>
    <x v="0"/>
    <s v="8+"/>
    <x v="48"/>
    <x v="5"/>
    <n v="11"/>
    <s v="이체"/>
    <n v="84"/>
    <m/>
    <m/>
    <m/>
    <m/>
    <m/>
    <m/>
    <m/>
    <m/>
    <m/>
    <m/>
    <m/>
    <m/>
    <n v="84"/>
  </r>
  <r>
    <d v="2026-01-05T00:00:00"/>
    <x v="0"/>
    <s v="21+"/>
    <x v="49"/>
    <x v="5"/>
    <n v="11"/>
    <s v="이체"/>
    <m/>
    <n v="2"/>
    <m/>
    <m/>
    <m/>
    <m/>
    <m/>
    <m/>
    <m/>
    <m/>
    <m/>
    <m/>
    <m/>
    <n v="2"/>
  </r>
  <r>
    <d v="2026-01-06T00:00:00"/>
    <x v="0"/>
    <s v="59+"/>
    <x v="28"/>
    <x v="5"/>
    <n v="42"/>
    <s v="이체"/>
    <n v="210"/>
    <m/>
    <m/>
    <m/>
    <m/>
    <m/>
    <m/>
    <m/>
    <m/>
    <m/>
    <m/>
    <m/>
    <m/>
    <n v="210"/>
  </r>
  <r>
    <d v="2026-01-06T00:00:00"/>
    <x v="0"/>
    <m/>
    <x v="50"/>
    <x v="3"/>
    <m/>
    <s v="이체"/>
    <m/>
    <m/>
    <m/>
    <m/>
    <m/>
    <m/>
    <m/>
    <m/>
    <m/>
    <m/>
    <m/>
    <n v="2730"/>
    <s v="임원수련회비"/>
    <n v="2730"/>
  </r>
  <r>
    <d v="2026-01-06T00:00:00"/>
    <x v="0"/>
    <s v="13+"/>
    <x v="51"/>
    <x v="5"/>
    <n v="31"/>
    <s v="이체"/>
    <m/>
    <n v="10"/>
    <m/>
    <m/>
    <m/>
    <m/>
    <m/>
    <m/>
    <m/>
    <m/>
    <m/>
    <m/>
    <m/>
    <n v="10"/>
  </r>
  <r>
    <d v="2026-01-07T00:00:00"/>
    <x v="0"/>
    <m/>
    <x v="52"/>
    <x v="3"/>
    <m/>
    <s v="이체"/>
    <m/>
    <m/>
    <m/>
    <m/>
    <m/>
    <m/>
    <m/>
    <m/>
    <m/>
    <m/>
    <m/>
    <n v="6.5"/>
    <s v="성도다이어리"/>
    <n v="6.5"/>
  </r>
  <r>
    <d v="2026-01-07T00:00:00"/>
    <x v="0"/>
    <m/>
    <x v="53"/>
    <x v="3"/>
    <m/>
    <s v="이체"/>
    <m/>
    <m/>
    <m/>
    <m/>
    <m/>
    <m/>
    <m/>
    <m/>
    <m/>
    <m/>
    <m/>
    <n v="1790"/>
    <s v="동계현장접수비"/>
    <n v="1790"/>
  </r>
  <r>
    <d v="2026-01-07T00:00:00"/>
    <x v="0"/>
    <m/>
    <x v="54"/>
    <x v="3"/>
    <m/>
    <s v="이체"/>
    <m/>
    <m/>
    <m/>
    <m/>
    <m/>
    <m/>
    <m/>
    <m/>
    <m/>
    <m/>
    <m/>
    <n v="3594"/>
    <s v="동계헌금계좌이체"/>
    <n v="3594"/>
  </r>
  <r>
    <d v="2026-01-07T00:00:00"/>
    <x v="0"/>
    <m/>
    <x v="55"/>
    <x v="3"/>
    <m/>
    <s v="이체"/>
    <m/>
    <m/>
    <m/>
    <m/>
    <m/>
    <m/>
    <m/>
    <m/>
    <m/>
    <m/>
    <m/>
    <n v="1040"/>
    <s v="동계경남고성매점"/>
    <n v="1040"/>
  </r>
  <r>
    <d v="2026-01-07T00:00:00"/>
    <x v="0"/>
    <m/>
    <x v="56"/>
    <x v="3"/>
    <m/>
    <s v="이체"/>
    <m/>
    <m/>
    <m/>
    <m/>
    <m/>
    <m/>
    <m/>
    <m/>
    <m/>
    <m/>
    <m/>
    <n v="600"/>
    <s v="동계머그컵수익"/>
    <n v="600"/>
  </r>
  <r>
    <d v="2026-01-07T00:00:00"/>
    <x v="0"/>
    <s v="54+"/>
    <x v="45"/>
    <x v="5"/>
    <n v="12"/>
    <s v="이체"/>
    <n v="250"/>
    <m/>
    <m/>
    <m/>
    <m/>
    <m/>
    <m/>
    <m/>
    <m/>
    <m/>
    <m/>
    <m/>
    <m/>
    <n v="250"/>
  </r>
  <r>
    <d v="2026-01-09T00:00:00"/>
    <x v="0"/>
    <s v="29*"/>
    <x v="25"/>
    <x v="1"/>
    <n v="32"/>
    <s v="이체"/>
    <m/>
    <m/>
    <m/>
    <m/>
    <n v="100"/>
    <m/>
    <m/>
    <m/>
    <m/>
    <m/>
    <m/>
    <m/>
    <m/>
    <n v="100"/>
  </r>
  <r>
    <d v="2026-01-09T00:00:00"/>
    <x v="0"/>
    <n v="70"/>
    <x v="57"/>
    <x v="2"/>
    <n v="32"/>
    <s v="이체"/>
    <n v="350"/>
    <m/>
    <m/>
    <m/>
    <m/>
    <m/>
    <m/>
    <m/>
    <m/>
    <m/>
    <m/>
    <m/>
    <m/>
    <n v="350"/>
  </r>
  <r>
    <d v="2026-01-09T00:00:00"/>
    <x v="0"/>
    <s v="86*"/>
    <x v="58"/>
    <x v="1"/>
    <n v="31"/>
    <s v="이체"/>
    <n v="200"/>
    <m/>
    <m/>
    <m/>
    <m/>
    <m/>
    <m/>
    <m/>
    <m/>
    <m/>
    <m/>
    <m/>
    <m/>
    <n v="200"/>
  </r>
  <r>
    <d v="2026-01-09T00:00:00"/>
    <x v="0"/>
    <s v="14-"/>
    <x v="59"/>
    <x v="0"/>
    <n v="41"/>
    <s v="이체"/>
    <n v="130"/>
    <m/>
    <m/>
    <m/>
    <m/>
    <m/>
    <m/>
    <m/>
    <m/>
    <m/>
    <n v="40"/>
    <m/>
    <m/>
    <n v="170"/>
  </r>
  <r>
    <d v="2026-01-09T00:00:00"/>
    <x v="0"/>
    <s v="8*"/>
    <x v="60"/>
    <x v="1"/>
    <n v="41"/>
    <s v="이체"/>
    <n v="75"/>
    <m/>
    <m/>
    <m/>
    <m/>
    <m/>
    <m/>
    <m/>
    <m/>
    <m/>
    <n v="60"/>
    <m/>
    <m/>
    <n v="135"/>
  </r>
  <r>
    <d v="2026-01-09T00:00:00"/>
    <x v="0"/>
    <s v="29+"/>
    <x v="61"/>
    <x v="5"/>
    <n v="41"/>
    <s v="이체"/>
    <n v="50"/>
    <m/>
    <m/>
    <m/>
    <m/>
    <m/>
    <m/>
    <m/>
    <m/>
    <m/>
    <m/>
    <m/>
    <m/>
    <n v="50"/>
  </r>
  <r>
    <d v="2026-01-09T00:00:00"/>
    <x v="0"/>
    <n v="61"/>
    <x v="23"/>
    <x v="2"/>
    <n v="32"/>
    <s v="이체"/>
    <n v="300"/>
    <n v="50"/>
    <m/>
    <m/>
    <m/>
    <m/>
    <m/>
    <m/>
    <m/>
    <m/>
    <n v="60"/>
    <m/>
    <m/>
    <n v="410"/>
  </r>
  <r>
    <d v="2026-01-04T00:00:00"/>
    <x v="0"/>
    <n v="29"/>
    <x v="62"/>
    <x v="2"/>
    <n v="21"/>
    <s v="이체"/>
    <n v="350"/>
    <m/>
    <m/>
    <m/>
    <m/>
    <m/>
    <m/>
    <m/>
    <m/>
    <m/>
    <m/>
    <m/>
    <m/>
    <n v="350"/>
  </r>
  <r>
    <d v="2026-01-04T00:00:00"/>
    <x v="0"/>
    <n v="9"/>
    <x v="63"/>
    <x v="2"/>
    <n v="43"/>
    <s v="이체"/>
    <n v="220"/>
    <m/>
    <m/>
    <m/>
    <m/>
    <m/>
    <m/>
    <m/>
    <m/>
    <m/>
    <m/>
    <m/>
    <m/>
    <n v="220"/>
  </r>
  <r>
    <d v="2026-01-04T00:00:00"/>
    <x v="0"/>
    <n v="21"/>
    <x v="64"/>
    <x v="2"/>
    <n v="41"/>
    <s v="이체"/>
    <n v="410"/>
    <m/>
    <m/>
    <m/>
    <m/>
    <m/>
    <m/>
    <m/>
    <m/>
    <m/>
    <m/>
    <m/>
    <m/>
    <n v="410"/>
  </r>
  <r>
    <d v="2026-01-09T00:00:00"/>
    <x v="0"/>
    <s v="36+"/>
    <x v="65"/>
    <x v="5"/>
    <n v="41"/>
    <s v="이체"/>
    <n v="160"/>
    <m/>
    <m/>
    <m/>
    <m/>
    <m/>
    <n v="30"/>
    <m/>
    <m/>
    <m/>
    <m/>
    <m/>
    <s v="부지매입"/>
    <n v="190"/>
  </r>
  <r>
    <d v="2026-01-09T00:00:00"/>
    <x v="0"/>
    <s v="92*"/>
    <x v="66"/>
    <x v="1"/>
    <n v="11"/>
    <s v="이체"/>
    <n v="250"/>
    <m/>
    <m/>
    <m/>
    <m/>
    <m/>
    <m/>
    <m/>
    <m/>
    <m/>
    <m/>
    <m/>
    <m/>
    <n v="250"/>
  </r>
  <r>
    <d v="2026-01-09T00:00:00"/>
    <x v="0"/>
    <s v="3*"/>
    <x v="67"/>
    <x v="1"/>
    <n v="21"/>
    <s v="이체"/>
    <m/>
    <m/>
    <m/>
    <m/>
    <m/>
    <m/>
    <n v="100"/>
    <m/>
    <m/>
    <m/>
    <m/>
    <m/>
    <s v="부지매입"/>
    <n v="100"/>
  </r>
  <r>
    <d v="2026-01-10T00:00:00"/>
    <x v="0"/>
    <n v="52"/>
    <x v="68"/>
    <x v="2"/>
    <n v="31"/>
    <s v="이체"/>
    <n v="290"/>
    <m/>
    <m/>
    <m/>
    <m/>
    <m/>
    <n v="120"/>
    <m/>
    <m/>
    <m/>
    <m/>
    <m/>
    <s v="부지매입"/>
    <n v="410"/>
  </r>
  <r>
    <d v="2026-01-10T00:00:00"/>
    <x v="0"/>
    <s v="52+"/>
    <x v="69"/>
    <x v="5"/>
    <n v="22"/>
    <s v="이체"/>
    <n v="230"/>
    <m/>
    <m/>
    <m/>
    <m/>
    <m/>
    <m/>
    <m/>
    <m/>
    <m/>
    <m/>
    <m/>
    <m/>
    <n v="230"/>
  </r>
  <r>
    <d v="2026-01-10T00:00:00"/>
    <x v="0"/>
    <s v="58*"/>
    <x v="70"/>
    <x v="1"/>
    <n v="43"/>
    <s v="이체"/>
    <n v="201"/>
    <m/>
    <m/>
    <m/>
    <m/>
    <m/>
    <m/>
    <m/>
    <m/>
    <m/>
    <m/>
    <m/>
    <m/>
    <n v="201"/>
  </r>
  <r>
    <d v="2026-01-10T00:00:00"/>
    <x v="0"/>
    <s v="88*"/>
    <x v="71"/>
    <x v="1"/>
    <n v="31"/>
    <s v="이체"/>
    <n v="100"/>
    <m/>
    <m/>
    <m/>
    <m/>
    <m/>
    <n v="100"/>
    <m/>
    <m/>
    <m/>
    <m/>
    <m/>
    <s v="부지매입"/>
    <n v="200"/>
  </r>
  <r>
    <d v="2026-01-10T00:00:00"/>
    <x v="0"/>
    <m/>
    <x v="72"/>
    <x v="2"/>
    <m/>
    <s v="이체"/>
    <m/>
    <m/>
    <m/>
    <m/>
    <m/>
    <m/>
    <m/>
    <m/>
    <m/>
    <m/>
    <m/>
    <n v="50"/>
    <s v="봉사회말씀선물"/>
    <n v="50"/>
  </r>
  <r>
    <d v="2026-01-10T00:00:00"/>
    <x v="0"/>
    <s v="36+"/>
    <x v="65"/>
    <x v="5"/>
    <n v="41"/>
    <s v="이체"/>
    <m/>
    <m/>
    <m/>
    <m/>
    <m/>
    <m/>
    <m/>
    <m/>
    <m/>
    <m/>
    <n v="60"/>
    <m/>
    <m/>
    <n v="60"/>
  </r>
  <r>
    <d v="2026-01-10T00:00:00"/>
    <x v="0"/>
    <s v="42*"/>
    <x v="73"/>
    <x v="1"/>
    <n v="42"/>
    <s v="이체"/>
    <m/>
    <m/>
    <m/>
    <m/>
    <m/>
    <m/>
    <n v="300"/>
    <m/>
    <m/>
    <m/>
    <m/>
    <m/>
    <m/>
    <n v="300"/>
  </r>
  <r>
    <d v="2026-01-11T00:00:00"/>
    <x v="0"/>
    <s v="31-"/>
    <x v="74"/>
    <x v="0"/>
    <n v="31"/>
    <m/>
    <n v="60"/>
    <n v="40"/>
    <m/>
    <m/>
    <m/>
    <m/>
    <m/>
    <m/>
    <m/>
    <m/>
    <n v="40"/>
    <m/>
    <m/>
    <n v="140"/>
  </r>
  <r>
    <d v="2026-01-11T00:00:00"/>
    <x v="0"/>
    <s v="43*"/>
    <x v="75"/>
    <x v="1"/>
    <n v="32"/>
    <m/>
    <n v="100"/>
    <m/>
    <n v="10"/>
    <m/>
    <m/>
    <m/>
    <m/>
    <n v="10"/>
    <n v="10"/>
    <m/>
    <n v="480"/>
    <m/>
    <m/>
    <n v="610"/>
  </r>
  <r>
    <d v="2026-01-11T00:00:00"/>
    <x v="0"/>
    <s v="27-"/>
    <x v="76"/>
    <x v="0"/>
    <n v="12"/>
    <m/>
    <n v="100"/>
    <n v="50"/>
    <m/>
    <m/>
    <m/>
    <m/>
    <m/>
    <m/>
    <m/>
    <m/>
    <n v="20"/>
    <m/>
    <m/>
    <n v="170"/>
  </r>
  <r>
    <d v="2026-01-11T00:00:00"/>
    <x v="0"/>
    <n v="2"/>
    <x v="77"/>
    <x v="2"/>
    <n v="12"/>
    <m/>
    <n v="310"/>
    <n v="40"/>
    <n v="20"/>
    <m/>
    <m/>
    <m/>
    <m/>
    <n v="20"/>
    <n v="20"/>
    <m/>
    <n v="20"/>
    <m/>
    <m/>
    <n v="430"/>
  </r>
  <r>
    <d v="2026-01-11T00:00:00"/>
    <x v="0"/>
    <s v="9-"/>
    <x v="11"/>
    <x v="0"/>
    <n v="21"/>
    <m/>
    <m/>
    <m/>
    <m/>
    <m/>
    <n v="20"/>
    <m/>
    <m/>
    <m/>
    <m/>
    <m/>
    <m/>
    <m/>
    <m/>
    <n v="20"/>
  </r>
  <r>
    <d v="2026-01-11T00:00:00"/>
    <x v="0"/>
    <s v="23-"/>
    <x v="78"/>
    <x v="0"/>
    <n v="31"/>
    <m/>
    <n v="40"/>
    <m/>
    <m/>
    <m/>
    <m/>
    <m/>
    <m/>
    <m/>
    <m/>
    <m/>
    <n v="20"/>
    <m/>
    <m/>
    <n v="60"/>
  </r>
  <r>
    <d v="2026-01-11T00:00:00"/>
    <x v="0"/>
    <s v="10+"/>
    <x v="79"/>
    <x v="5"/>
    <n v="21"/>
    <m/>
    <n v="290"/>
    <m/>
    <m/>
    <m/>
    <n v="125"/>
    <m/>
    <m/>
    <m/>
    <m/>
    <m/>
    <m/>
    <m/>
    <m/>
    <n v="415"/>
  </r>
  <r>
    <d v="2026-01-11T00:00:00"/>
    <x v="0"/>
    <s v="44+"/>
    <x v="80"/>
    <x v="5"/>
    <n v="21"/>
    <m/>
    <m/>
    <n v="2"/>
    <m/>
    <m/>
    <m/>
    <m/>
    <m/>
    <m/>
    <m/>
    <m/>
    <m/>
    <m/>
    <m/>
    <n v="2"/>
  </r>
  <r>
    <d v="2026-01-11T00:00:00"/>
    <x v="0"/>
    <s v="51*"/>
    <x v="81"/>
    <x v="1"/>
    <n v="11"/>
    <m/>
    <n v="50"/>
    <m/>
    <m/>
    <m/>
    <m/>
    <m/>
    <m/>
    <m/>
    <m/>
    <m/>
    <n v="60"/>
    <m/>
    <m/>
    <n v="110"/>
  </r>
  <r>
    <d v="2026-01-11T00:00:00"/>
    <x v="0"/>
    <s v="26*"/>
    <x v="39"/>
    <x v="1"/>
    <n v="43"/>
    <m/>
    <m/>
    <n v="10"/>
    <m/>
    <m/>
    <m/>
    <m/>
    <m/>
    <m/>
    <m/>
    <m/>
    <m/>
    <m/>
    <m/>
    <n v="10"/>
  </r>
  <r>
    <d v="2026-01-11T00:00:00"/>
    <x v="0"/>
    <s v="63*"/>
    <x v="82"/>
    <x v="1"/>
    <n v="11"/>
    <m/>
    <n v="100"/>
    <n v="10"/>
    <n v="10"/>
    <m/>
    <n v="10"/>
    <m/>
    <n v="10"/>
    <n v="10"/>
    <m/>
    <n v="10"/>
    <n v="60"/>
    <m/>
    <m/>
    <n v="220"/>
  </r>
  <r>
    <d v="2026-01-11T00:00:00"/>
    <x v="0"/>
    <n v="10"/>
    <x v="83"/>
    <x v="2"/>
    <n v="11"/>
    <m/>
    <n v="400"/>
    <n v="10"/>
    <n v="10"/>
    <m/>
    <n v="10"/>
    <m/>
    <n v="100"/>
    <n v="10"/>
    <m/>
    <n v="10"/>
    <n v="60"/>
    <m/>
    <m/>
    <n v="610"/>
  </r>
  <r>
    <d v="2026-01-11T00:00:00"/>
    <x v="0"/>
    <s v="42*"/>
    <x v="73"/>
    <x v="1"/>
    <n v="42"/>
    <m/>
    <n v="20"/>
    <n v="10"/>
    <n v="10"/>
    <m/>
    <m/>
    <m/>
    <m/>
    <m/>
    <n v="10"/>
    <m/>
    <m/>
    <m/>
    <m/>
    <n v="50"/>
  </r>
  <r>
    <d v="2026-01-11T00:00:00"/>
    <x v="0"/>
    <s v="35-"/>
    <x v="6"/>
    <x v="0"/>
    <n v="32"/>
    <m/>
    <m/>
    <n v="10"/>
    <m/>
    <m/>
    <m/>
    <m/>
    <m/>
    <m/>
    <m/>
    <m/>
    <m/>
    <m/>
    <m/>
    <n v="10"/>
  </r>
  <r>
    <d v="2026-01-11T00:00:00"/>
    <x v="0"/>
    <s v="26-"/>
    <x v="84"/>
    <x v="0"/>
    <n v="11"/>
    <m/>
    <n v="10"/>
    <m/>
    <m/>
    <m/>
    <m/>
    <m/>
    <m/>
    <m/>
    <m/>
    <m/>
    <m/>
    <m/>
    <m/>
    <n v="10"/>
  </r>
  <r>
    <d v="2026-01-11T00:00:00"/>
    <x v="0"/>
    <s v="21-"/>
    <x v="85"/>
    <x v="0"/>
    <n v="12"/>
    <m/>
    <n v="50"/>
    <m/>
    <m/>
    <m/>
    <m/>
    <m/>
    <m/>
    <m/>
    <m/>
    <m/>
    <n v="20"/>
    <m/>
    <m/>
    <n v="70"/>
  </r>
  <r>
    <d v="2026-01-11T00:00:00"/>
    <x v="0"/>
    <s v="2*"/>
    <x v="86"/>
    <x v="1"/>
    <n v="12"/>
    <m/>
    <n v="40"/>
    <n v="20"/>
    <n v="10"/>
    <m/>
    <m/>
    <m/>
    <n v="200"/>
    <n v="10"/>
    <n v="10"/>
    <m/>
    <n v="10"/>
    <m/>
    <m/>
    <n v="300"/>
  </r>
  <r>
    <d v="2026-01-11T00:00:00"/>
    <x v="0"/>
    <n v="57"/>
    <x v="19"/>
    <x v="2"/>
    <n v="41"/>
    <m/>
    <m/>
    <n v="10"/>
    <m/>
    <m/>
    <m/>
    <m/>
    <m/>
    <m/>
    <m/>
    <m/>
    <n v="60"/>
    <m/>
    <m/>
    <n v="70"/>
  </r>
  <r>
    <d v="2026-01-11T00:00:00"/>
    <x v="0"/>
    <n v="14"/>
    <x v="17"/>
    <x v="2"/>
    <n v="21"/>
    <m/>
    <m/>
    <n v="10"/>
    <m/>
    <m/>
    <m/>
    <m/>
    <m/>
    <m/>
    <m/>
    <m/>
    <m/>
    <m/>
    <m/>
    <n v="10"/>
  </r>
  <r>
    <d v="2026-01-11T00:00:00"/>
    <x v="0"/>
    <n v="68"/>
    <x v="87"/>
    <x v="2"/>
    <n v="41"/>
    <m/>
    <m/>
    <n v="10"/>
    <m/>
    <m/>
    <m/>
    <m/>
    <m/>
    <m/>
    <m/>
    <m/>
    <m/>
    <m/>
    <m/>
    <n v="10"/>
  </r>
  <r>
    <d v="2026-01-11T00:00:00"/>
    <x v="0"/>
    <n v="11"/>
    <x v="88"/>
    <x v="2"/>
    <n v="32"/>
    <m/>
    <n v="200"/>
    <m/>
    <m/>
    <m/>
    <m/>
    <m/>
    <m/>
    <m/>
    <m/>
    <m/>
    <m/>
    <m/>
    <m/>
    <n v="200"/>
  </r>
  <r>
    <d v="2026-01-11T00:00:00"/>
    <x v="0"/>
    <n v="72"/>
    <x v="18"/>
    <x v="2"/>
    <n v="41"/>
    <m/>
    <m/>
    <n v="10"/>
    <n v="10"/>
    <m/>
    <m/>
    <m/>
    <m/>
    <m/>
    <m/>
    <m/>
    <m/>
    <m/>
    <m/>
    <n v="20"/>
  </r>
  <r>
    <d v="2026-01-11T00:00:00"/>
    <x v="0"/>
    <n v="58"/>
    <x v="89"/>
    <x v="2"/>
    <n v="43"/>
    <m/>
    <m/>
    <m/>
    <m/>
    <m/>
    <m/>
    <m/>
    <m/>
    <m/>
    <m/>
    <m/>
    <n v="60"/>
    <m/>
    <m/>
    <n v="60"/>
  </r>
  <r>
    <d v="2026-01-11T00:00:00"/>
    <x v="0"/>
    <n v="79"/>
    <x v="90"/>
    <x v="2"/>
    <n v="43"/>
    <m/>
    <m/>
    <m/>
    <m/>
    <m/>
    <m/>
    <m/>
    <m/>
    <m/>
    <m/>
    <m/>
    <n v="20"/>
    <m/>
    <m/>
    <n v="20"/>
  </r>
  <r>
    <d v="2026-01-11T00:00:00"/>
    <x v="0"/>
    <s v="12-"/>
    <x v="12"/>
    <x v="0"/>
    <n v="12"/>
    <m/>
    <m/>
    <m/>
    <m/>
    <m/>
    <m/>
    <m/>
    <m/>
    <m/>
    <m/>
    <m/>
    <n v="20"/>
    <m/>
    <m/>
    <n v="20"/>
  </r>
  <r>
    <d v="2026-01-11T00:00:00"/>
    <x v="0"/>
    <s v="22-"/>
    <x v="10"/>
    <x v="0"/>
    <n v="21"/>
    <m/>
    <m/>
    <m/>
    <m/>
    <m/>
    <m/>
    <m/>
    <m/>
    <m/>
    <m/>
    <m/>
    <n v="20"/>
    <m/>
    <m/>
    <n v="20"/>
  </r>
  <r>
    <d v="2026-01-11T00:00:00"/>
    <x v="0"/>
    <s v="3-"/>
    <x v="0"/>
    <x v="0"/>
    <n v="43"/>
    <m/>
    <m/>
    <m/>
    <m/>
    <m/>
    <m/>
    <m/>
    <m/>
    <m/>
    <m/>
    <m/>
    <n v="40"/>
    <m/>
    <m/>
    <n v="40"/>
  </r>
  <r>
    <d v="2026-01-11T00:00:00"/>
    <x v="0"/>
    <s v="7-"/>
    <x v="9"/>
    <x v="0"/>
    <n v="31"/>
    <m/>
    <m/>
    <m/>
    <m/>
    <m/>
    <m/>
    <m/>
    <m/>
    <m/>
    <m/>
    <m/>
    <n v="20"/>
    <m/>
    <m/>
    <n v="20"/>
  </r>
  <r>
    <d v="2026-01-11T00:00:00"/>
    <x v="0"/>
    <m/>
    <x v="91"/>
    <x v="3"/>
    <m/>
    <m/>
    <m/>
    <n v="4.2"/>
    <m/>
    <m/>
    <m/>
    <m/>
    <m/>
    <m/>
    <m/>
    <m/>
    <m/>
    <m/>
    <m/>
    <n v="4.2"/>
  </r>
  <r>
    <d v="2026-01-11T00:00:00"/>
    <x v="0"/>
    <m/>
    <x v="21"/>
    <x v="3"/>
    <m/>
    <m/>
    <m/>
    <n v="20"/>
    <m/>
    <m/>
    <m/>
    <m/>
    <m/>
    <m/>
    <m/>
    <m/>
    <m/>
    <m/>
    <m/>
    <n v="20"/>
  </r>
  <r>
    <d v="2026-01-11T00:00:00"/>
    <x v="0"/>
    <m/>
    <x v="92"/>
    <x v="3"/>
    <m/>
    <m/>
    <m/>
    <n v="50"/>
    <m/>
    <m/>
    <m/>
    <m/>
    <m/>
    <m/>
    <m/>
    <m/>
    <m/>
    <m/>
    <m/>
    <n v="50"/>
  </r>
  <r>
    <d v="2026-01-11T00:00:00"/>
    <x v="0"/>
    <s v="88*"/>
    <x v="71"/>
    <x v="1"/>
    <n v="31"/>
    <s v="이체"/>
    <m/>
    <m/>
    <m/>
    <m/>
    <m/>
    <m/>
    <m/>
    <m/>
    <m/>
    <m/>
    <n v="60"/>
    <m/>
    <m/>
    <n v="60"/>
  </r>
  <r>
    <d v="2026-01-11T00:00:00"/>
    <x v="0"/>
    <s v="29*"/>
    <x v="25"/>
    <x v="1"/>
    <n v="32"/>
    <s v="이체"/>
    <m/>
    <n v="25"/>
    <m/>
    <m/>
    <m/>
    <m/>
    <m/>
    <m/>
    <m/>
    <m/>
    <m/>
    <m/>
    <m/>
    <n v="25"/>
  </r>
  <r>
    <d v="2026-01-11T00:00:00"/>
    <x v="0"/>
    <s v="39+"/>
    <x v="93"/>
    <x v="5"/>
    <n v="43"/>
    <s v="이체"/>
    <m/>
    <n v="5"/>
    <m/>
    <m/>
    <m/>
    <m/>
    <m/>
    <m/>
    <m/>
    <m/>
    <m/>
    <m/>
    <m/>
    <n v="5"/>
  </r>
  <r>
    <d v="2026-01-11T00:00:00"/>
    <x v="0"/>
    <s v="65*"/>
    <x v="94"/>
    <x v="1"/>
    <n v="43"/>
    <s v="이체"/>
    <n v="340"/>
    <n v="40"/>
    <m/>
    <m/>
    <m/>
    <m/>
    <m/>
    <n v="20"/>
    <n v="20"/>
    <m/>
    <n v="100"/>
    <m/>
    <m/>
    <n v="520"/>
  </r>
  <r>
    <d v="2026-01-11T00:00:00"/>
    <x v="0"/>
    <m/>
    <x v="91"/>
    <x v="6"/>
    <m/>
    <s v="이체"/>
    <m/>
    <n v="5.0999999999999996"/>
    <m/>
    <m/>
    <m/>
    <m/>
    <m/>
    <m/>
    <m/>
    <m/>
    <m/>
    <m/>
    <m/>
    <n v="5.0999999999999996"/>
  </r>
  <r>
    <d v="2026-01-11T00:00:00"/>
    <x v="0"/>
    <s v="54+"/>
    <x v="45"/>
    <x v="5"/>
    <n v="12"/>
    <s v="이체"/>
    <m/>
    <n v="10"/>
    <m/>
    <m/>
    <m/>
    <m/>
    <m/>
    <m/>
    <m/>
    <m/>
    <m/>
    <m/>
    <m/>
    <n v="10"/>
  </r>
  <r>
    <d v="2026-01-11T00:00:00"/>
    <x v="0"/>
    <s v="55*"/>
    <x v="42"/>
    <x v="1"/>
    <n v="12"/>
    <s v="이체"/>
    <m/>
    <m/>
    <m/>
    <m/>
    <m/>
    <n v="1100"/>
    <m/>
    <m/>
    <m/>
    <m/>
    <n v="60"/>
    <m/>
    <s v="해외후원"/>
    <n v="1160"/>
  </r>
  <r>
    <d v="2026-01-11T00:00:00"/>
    <x v="0"/>
    <s v="34+"/>
    <x v="44"/>
    <x v="5"/>
    <n v="43"/>
    <s v="이체"/>
    <m/>
    <n v="3"/>
    <m/>
    <m/>
    <m/>
    <m/>
    <m/>
    <m/>
    <m/>
    <m/>
    <m/>
    <m/>
    <m/>
    <n v="3"/>
  </r>
  <r>
    <d v="2026-01-11T00:00:00"/>
    <x v="0"/>
    <s v="54+"/>
    <x v="45"/>
    <x v="5"/>
    <n v="12"/>
    <s v="이체"/>
    <m/>
    <n v="10"/>
    <m/>
    <m/>
    <m/>
    <m/>
    <m/>
    <m/>
    <m/>
    <m/>
    <m/>
    <m/>
    <m/>
    <n v="10"/>
  </r>
  <r>
    <d v="2026-01-11T00:00:00"/>
    <x v="0"/>
    <n v="6"/>
    <x v="41"/>
    <x v="2"/>
    <n v="41"/>
    <s v="이체"/>
    <m/>
    <n v="3"/>
    <m/>
    <m/>
    <m/>
    <m/>
    <m/>
    <m/>
    <m/>
    <m/>
    <m/>
    <m/>
    <m/>
    <n v="3"/>
  </r>
  <r>
    <d v="2026-01-11T00:00:00"/>
    <x v="0"/>
    <s v="44+"/>
    <x v="80"/>
    <x v="5"/>
    <n v="21"/>
    <s v="이체"/>
    <m/>
    <m/>
    <m/>
    <m/>
    <m/>
    <m/>
    <n v="50"/>
    <m/>
    <m/>
    <m/>
    <m/>
    <m/>
    <s v="부지매입"/>
    <n v="50"/>
  </r>
  <r>
    <d v="2026-01-11T00:00:00"/>
    <x v="0"/>
    <s v="22+"/>
    <x v="30"/>
    <x v="5"/>
    <n v="11"/>
    <s v="이체"/>
    <m/>
    <m/>
    <m/>
    <m/>
    <m/>
    <m/>
    <m/>
    <m/>
    <m/>
    <m/>
    <n v="20"/>
    <m/>
    <m/>
    <n v="20"/>
  </r>
  <r>
    <d v="2026-01-11T00:00:00"/>
    <x v="0"/>
    <s v="40+"/>
    <x v="95"/>
    <x v="5"/>
    <n v="43"/>
    <s v="이체"/>
    <m/>
    <m/>
    <m/>
    <m/>
    <m/>
    <m/>
    <m/>
    <m/>
    <m/>
    <m/>
    <n v="20"/>
    <m/>
    <m/>
    <n v="20"/>
  </r>
  <r>
    <d v="2026-01-11T00:00:00"/>
    <x v="0"/>
    <n v="75"/>
    <x v="37"/>
    <x v="2"/>
    <n v="42"/>
    <s v="이체"/>
    <m/>
    <m/>
    <m/>
    <m/>
    <m/>
    <n v="50"/>
    <m/>
    <m/>
    <m/>
    <m/>
    <n v="20"/>
    <m/>
    <s v="해외후원"/>
    <n v="70"/>
  </r>
  <r>
    <d v="2026-01-11T00:00:00"/>
    <x v="0"/>
    <s v="97*"/>
    <x v="38"/>
    <x v="1"/>
    <n v="42"/>
    <s v="이체"/>
    <m/>
    <m/>
    <m/>
    <m/>
    <m/>
    <n v="100"/>
    <m/>
    <m/>
    <m/>
    <m/>
    <n v="20"/>
    <m/>
    <s v="해외후원"/>
    <n v="120"/>
  </r>
  <r>
    <d v="2026-01-11T00:00:00"/>
    <x v="0"/>
    <n v="52"/>
    <x v="68"/>
    <x v="2"/>
    <n v="31"/>
    <s v="이체"/>
    <m/>
    <m/>
    <m/>
    <m/>
    <m/>
    <m/>
    <m/>
    <m/>
    <m/>
    <m/>
    <n v="60"/>
    <m/>
    <m/>
    <n v="60"/>
  </r>
  <r>
    <d v="2026-01-11T00:00:00"/>
    <x v="0"/>
    <n v="17"/>
    <x v="96"/>
    <x v="2"/>
    <n v="12"/>
    <s v="이체"/>
    <n v="710"/>
    <n v="50"/>
    <n v="10"/>
    <m/>
    <m/>
    <m/>
    <m/>
    <n v="50"/>
    <n v="50"/>
    <n v="10"/>
    <n v="100"/>
    <m/>
    <m/>
    <n v="980"/>
  </r>
  <r>
    <d v="2026-01-11T00:00:00"/>
    <x v="0"/>
    <s v="6*"/>
    <x v="97"/>
    <x v="1"/>
    <n v="12"/>
    <s v="이체"/>
    <n v="110"/>
    <n v="50"/>
    <n v="10"/>
    <m/>
    <m/>
    <m/>
    <m/>
    <n v="50"/>
    <n v="50"/>
    <n v="10"/>
    <n v="100"/>
    <m/>
    <m/>
    <n v="380"/>
  </r>
  <r>
    <d v="2026-01-11T00:00:00"/>
    <x v="0"/>
    <s v="21+"/>
    <x v="49"/>
    <x v="5"/>
    <n v="11"/>
    <s v="이체"/>
    <m/>
    <n v="2"/>
    <m/>
    <m/>
    <m/>
    <m/>
    <m/>
    <m/>
    <m/>
    <m/>
    <m/>
    <m/>
    <m/>
    <n v="2"/>
  </r>
  <r>
    <d v="2026-01-11T00:00:00"/>
    <x v="0"/>
    <s v="28+"/>
    <x v="98"/>
    <x v="5"/>
    <n v="41"/>
    <s v="이체"/>
    <n v="230"/>
    <m/>
    <m/>
    <m/>
    <m/>
    <m/>
    <m/>
    <m/>
    <m/>
    <m/>
    <n v="60"/>
    <m/>
    <m/>
    <n v="290"/>
  </r>
  <r>
    <d v="2026-01-12T00:00:00"/>
    <x v="0"/>
    <s v="13+"/>
    <x v="51"/>
    <x v="5"/>
    <n v="31"/>
    <s v="이체"/>
    <m/>
    <n v="10"/>
    <m/>
    <m/>
    <m/>
    <m/>
    <m/>
    <m/>
    <m/>
    <m/>
    <m/>
    <m/>
    <m/>
    <n v="10"/>
  </r>
  <r>
    <d v="2026-01-12T00:00:00"/>
    <x v="0"/>
    <n v="71"/>
    <x v="99"/>
    <x v="2"/>
    <n v="21"/>
    <s v="이체"/>
    <n v="250"/>
    <m/>
    <m/>
    <m/>
    <m/>
    <m/>
    <m/>
    <m/>
    <m/>
    <m/>
    <m/>
    <m/>
    <m/>
    <n v="250"/>
  </r>
  <r>
    <d v="2026-01-12T00:00:00"/>
    <x v="0"/>
    <s v="44+"/>
    <x v="80"/>
    <x v="5"/>
    <n v="21"/>
    <s v="이체"/>
    <n v="200"/>
    <m/>
    <m/>
    <m/>
    <m/>
    <m/>
    <m/>
    <m/>
    <m/>
    <m/>
    <m/>
    <m/>
    <m/>
    <n v="200"/>
  </r>
  <r>
    <d v="2026-01-12T00:00:00"/>
    <x v="0"/>
    <s v="66*"/>
    <x v="100"/>
    <x v="1"/>
    <n v="12"/>
    <s v="이체"/>
    <m/>
    <m/>
    <m/>
    <m/>
    <m/>
    <m/>
    <n v="150"/>
    <m/>
    <m/>
    <m/>
    <m/>
    <m/>
    <s v="부지매입"/>
    <n v="150"/>
  </r>
  <r>
    <d v="2026-01-12T00:00:00"/>
    <x v="0"/>
    <n v="63"/>
    <x v="101"/>
    <x v="2"/>
    <n v="43"/>
    <s v="이체"/>
    <m/>
    <m/>
    <m/>
    <m/>
    <m/>
    <m/>
    <n v="1000"/>
    <m/>
    <m/>
    <m/>
    <m/>
    <m/>
    <s v="부지매입"/>
    <n v="1000"/>
  </r>
  <r>
    <d v="2026-01-13T00:00:00"/>
    <x v="0"/>
    <s v="92*"/>
    <x v="66"/>
    <x v="1"/>
    <n v="11"/>
    <s v="이체"/>
    <n v="60"/>
    <m/>
    <m/>
    <m/>
    <m/>
    <m/>
    <m/>
    <m/>
    <m/>
    <m/>
    <m/>
    <m/>
    <m/>
    <n v="60"/>
  </r>
  <r>
    <d v="2026-01-14T00:00:00"/>
    <x v="0"/>
    <n v="31"/>
    <x v="102"/>
    <x v="2"/>
    <n v="41"/>
    <s v="이체"/>
    <m/>
    <m/>
    <n v="2000"/>
    <m/>
    <m/>
    <m/>
    <m/>
    <m/>
    <m/>
    <m/>
    <n v="1000"/>
    <m/>
    <m/>
    <n v="3000"/>
  </r>
  <r>
    <d v="2026-01-14T00:00:00"/>
    <x v="0"/>
    <s v="45*"/>
    <x v="103"/>
    <x v="1"/>
    <n v="22"/>
    <s v="이체"/>
    <n v="100"/>
    <m/>
    <m/>
    <m/>
    <m/>
    <m/>
    <n v="100"/>
    <n v="40"/>
    <m/>
    <m/>
    <n v="40"/>
    <m/>
    <s v="부지매입"/>
    <n v="280"/>
  </r>
  <r>
    <d v="2026-01-14T00:00:00"/>
    <x v="0"/>
    <n v="35"/>
    <x v="104"/>
    <x v="2"/>
    <n v="42"/>
    <s v="이체"/>
    <n v="300"/>
    <m/>
    <m/>
    <m/>
    <m/>
    <m/>
    <m/>
    <m/>
    <m/>
    <m/>
    <m/>
    <m/>
    <m/>
    <n v="300"/>
  </r>
  <r>
    <d v="2026-01-14T00:00:00"/>
    <x v="0"/>
    <n v="15"/>
    <x v="105"/>
    <x v="2"/>
    <n v="43"/>
    <s v="이체"/>
    <n v="300"/>
    <m/>
    <m/>
    <m/>
    <m/>
    <m/>
    <n v="200"/>
    <m/>
    <m/>
    <m/>
    <m/>
    <m/>
    <s v="부지매입"/>
    <n v="500"/>
  </r>
  <r>
    <d v="2026-01-14T00:00:00"/>
    <x v="0"/>
    <s v="13*"/>
    <x v="106"/>
    <x v="1"/>
    <n v="43"/>
    <s v="이체"/>
    <n v="300"/>
    <m/>
    <m/>
    <m/>
    <m/>
    <m/>
    <n v="200"/>
    <m/>
    <m/>
    <m/>
    <m/>
    <m/>
    <s v="부지매입"/>
    <n v="500"/>
  </r>
  <r>
    <d v="2026-01-14T00:00:00"/>
    <x v="0"/>
    <s v="25*"/>
    <x v="107"/>
    <x v="1"/>
    <n v="22"/>
    <s v="이체"/>
    <m/>
    <m/>
    <m/>
    <m/>
    <m/>
    <m/>
    <m/>
    <m/>
    <m/>
    <m/>
    <n v="40"/>
    <m/>
    <m/>
    <n v="40"/>
  </r>
  <r>
    <d v="2026-01-15T00:00:00"/>
    <x v="0"/>
    <s v="38*"/>
    <x v="32"/>
    <x v="1"/>
    <n v="21"/>
    <s v="이체"/>
    <n v="200"/>
    <m/>
    <m/>
    <m/>
    <m/>
    <m/>
    <m/>
    <m/>
    <m/>
    <m/>
    <m/>
    <m/>
    <m/>
    <n v="200"/>
  </r>
  <r>
    <d v="2026-01-15T00:00:00"/>
    <x v="0"/>
    <s v="31*"/>
    <x v="108"/>
    <x v="1"/>
    <n v="22"/>
    <s v="이체"/>
    <n v="100"/>
    <m/>
    <m/>
    <m/>
    <m/>
    <m/>
    <m/>
    <n v="10"/>
    <n v="10"/>
    <m/>
    <n v="20"/>
    <m/>
    <m/>
    <n v="140"/>
  </r>
  <r>
    <d v="2026-01-15T00:00:00"/>
    <x v="0"/>
    <s v="27-"/>
    <x v="76"/>
    <x v="0"/>
    <n v="12"/>
    <s v="이체"/>
    <m/>
    <m/>
    <m/>
    <m/>
    <m/>
    <n v="500"/>
    <m/>
    <m/>
    <m/>
    <m/>
    <m/>
    <m/>
    <s v="해외후원"/>
    <n v="500"/>
  </r>
  <r>
    <d v="2026-01-16T00:00:00"/>
    <x v="0"/>
    <s v="56+"/>
    <x v="109"/>
    <x v="5"/>
    <n v="42"/>
    <s v="이체"/>
    <n v="360"/>
    <m/>
    <m/>
    <m/>
    <m/>
    <m/>
    <m/>
    <m/>
    <m/>
    <m/>
    <m/>
    <m/>
    <m/>
    <n v="360"/>
  </r>
  <r>
    <d v="2026-01-16T00:00:00"/>
    <x v="0"/>
    <s v="3*"/>
    <x v="67"/>
    <x v="1"/>
    <n v="21"/>
    <s v="이체"/>
    <m/>
    <m/>
    <m/>
    <m/>
    <m/>
    <m/>
    <m/>
    <m/>
    <m/>
    <m/>
    <n v="20"/>
    <m/>
    <m/>
    <n v="20"/>
  </r>
  <r>
    <d v="2026-01-17T00:00:00"/>
    <x v="0"/>
    <s v="35*"/>
    <x v="110"/>
    <x v="1"/>
    <n v="43"/>
    <s v="이체"/>
    <n v="202"/>
    <m/>
    <m/>
    <m/>
    <m/>
    <m/>
    <n v="300"/>
    <m/>
    <m/>
    <m/>
    <m/>
    <m/>
    <s v="부지매입"/>
    <n v="502"/>
  </r>
  <r>
    <d v="2026-01-18T00:00:00"/>
    <x v="0"/>
    <s v="1*"/>
    <x v="15"/>
    <x v="1"/>
    <n v="11"/>
    <m/>
    <m/>
    <n v="10"/>
    <m/>
    <m/>
    <m/>
    <m/>
    <m/>
    <m/>
    <m/>
    <m/>
    <m/>
    <m/>
    <m/>
    <n v="10"/>
  </r>
  <r>
    <d v="2026-01-18T00:00:00"/>
    <x v="0"/>
    <n v="72"/>
    <x v="18"/>
    <x v="2"/>
    <n v="41"/>
    <m/>
    <m/>
    <n v="10"/>
    <m/>
    <m/>
    <m/>
    <m/>
    <m/>
    <m/>
    <m/>
    <m/>
    <m/>
    <m/>
    <m/>
    <n v="10"/>
  </r>
  <r>
    <d v="2026-01-18T00:00:00"/>
    <x v="0"/>
    <s v="20-"/>
    <x v="111"/>
    <x v="0"/>
    <n v="11"/>
    <m/>
    <n v="200"/>
    <m/>
    <m/>
    <m/>
    <m/>
    <m/>
    <m/>
    <m/>
    <m/>
    <m/>
    <m/>
    <m/>
    <m/>
    <n v="200"/>
  </r>
  <r>
    <d v="2026-01-18T00:00:00"/>
    <x v="0"/>
    <n v="1"/>
    <x v="20"/>
    <x v="2"/>
    <n v="11"/>
    <m/>
    <m/>
    <n v="10"/>
    <m/>
    <m/>
    <n v="1000"/>
    <m/>
    <m/>
    <m/>
    <m/>
    <m/>
    <m/>
    <m/>
    <m/>
    <n v="1010"/>
  </r>
  <r>
    <d v="2026-01-18T00:00:00"/>
    <x v="0"/>
    <s v="82*"/>
    <x v="112"/>
    <x v="1"/>
    <n v="33"/>
    <m/>
    <n v="200"/>
    <m/>
    <m/>
    <m/>
    <m/>
    <m/>
    <m/>
    <m/>
    <m/>
    <m/>
    <m/>
    <m/>
    <m/>
    <n v="200"/>
  </r>
  <r>
    <d v="2026-01-18T00:00:00"/>
    <x v="0"/>
    <s v="44+"/>
    <x v="80"/>
    <x v="5"/>
    <n v="21"/>
    <m/>
    <m/>
    <n v="2"/>
    <m/>
    <m/>
    <m/>
    <m/>
    <m/>
    <m/>
    <m/>
    <m/>
    <m/>
    <m/>
    <m/>
    <n v="2"/>
  </r>
  <r>
    <d v="2026-01-18T00:00:00"/>
    <x v="0"/>
    <s v="35-"/>
    <x v="6"/>
    <x v="0"/>
    <n v="32"/>
    <m/>
    <m/>
    <n v="10"/>
    <m/>
    <m/>
    <m/>
    <m/>
    <m/>
    <m/>
    <m/>
    <m/>
    <m/>
    <m/>
    <m/>
    <n v="10"/>
  </r>
  <r>
    <d v="2026-01-18T00:00:00"/>
    <x v="0"/>
    <n v="4"/>
    <x v="113"/>
    <x v="2"/>
    <n v="22"/>
    <m/>
    <n v="200"/>
    <m/>
    <n v="20"/>
    <m/>
    <m/>
    <m/>
    <m/>
    <m/>
    <m/>
    <m/>
    <n v="100"/>
    <m/>
    <m/>
    <n v="320"/>
  </r>
  <r>
    <d v="2026-01-18T00:00:00"/>
    <x v="0"/>
    <s v="41*"/>
    <x v="114"/>
    <x v="1"/>
    <n v="32"/>
    <m/>
    <n v="320"/>
    <n v="20"/>
    <n v="10"/>
    <m/>
    <m/>
    <m/>
    <m/>
    <m/>
    <m/>
    <m/>
    <n v="60"/>
    <m/>
    <m/>
    <n v="410"/>
  </r>
  <r>
    <d v="2026-01-18T00:00:00"/>
    <x v="0"/>
    <s v="49*"/>
    <x v="115"/>
    <x v="1"/>
    <n v="21"/>
    <m/>
    <n v="150"/>
    <m/>
    <m/>
    <m/>
    <m/>
    <m/>
    <m/>
    <m/>
    <m/>
    <m/>
    <m/>
    <m/>
    <m/>
    <n v="150"/>
  </r>
  <r>
    <d v="2026-01-18T00:00:00"/>
    <x v="0"/>
    <n v="57"/>
    <x v="19"/>
    <x v="2"/>
    <n v="41"/>
    <m/>
    <m/>
    <n v="10"/>
    <m/>
    <m/>
    <m/>
    <m/>
    <m/>
    <m/>
    <m/>
    <m/>
    <m/>
    <m/>
    <m/>
    <n v="10"/>
  </r>
  <r>
    <d v="2026-01-18T00:00:00"/>
    <x v="0"/>
    <s v="8-"/>
    <x v="116"/>
    <x v="0"/>
    <n v="21"/>
    <m/>
    <n v="100"/>
    <n v="20"/>
    <n v="10"/>
    <m/>
    <m/>
    <m/>
    <n v="250"/>
    <m/>
    <m/>
    <m/>
    <n v="60"/>
    <m/>
    <s v="부지매입"/>
    <n v="440"/>
  </r>
  <r>
    <d v="2026-01-18T00:00:00"/>
    <x v="0"/>
    <s v="9-"/>
    <x v="11"/>
    <x v="0"/>
    <n v="21"/>
    <m/>
    <m/>
    <m/>
    <m/>
    <m/>
    <n v="20"/>
    <m/>
    <m/>
    <m/>
    <m/>
    <m/>
    <m/>
    <m/>
    <m/>
    <n v="20"/>
  </r>
  <r>
    <d v="2026-01-18T00:00:00"/>
    <x v="0"/>
    <n v="2"/>
    <x v="77"/>
    <x v="2"/>
    <n v="12"/>
    <m/>
    <m/>
    <m/>
    <m/>
    <m/>
    <m/>
    <n v="100"/>
    <m/>
    <m/>
    <m/>
    <m/>
    <m/>
    <m/>
    <s v="승강기"/>
    <n v="100"/>
  </r>
  <r>
    <d v="2026-01-18T00:00:00"/>
    <x v="0"/>
    <s v="17-"/>
    <x v="117"/>
    <x v="0"/>
    <n v="11"/>
    <m/>
    <n v="100"/>
    <n v="40"/>
    <n v="10"/>
    <m/>
    <m/>
    <m/>
    <m/>
    <m/>
    <n v="10"/>
    <n v="10"/>
    <m/>
    <m/>
    <m/>
    <n v="170"/>
  </r>
  <r>
    <d v="2026-01-18T00:00:00"/>
    <x v="0"/>
    <s v="10*"/>
    <x v="118"/>
    <x v="1"/>
    <n v="32"/>
    <m/>
    <n v="165"/>
    <n v="5"/>
    <m/>
    <m/>
    <m/>
    <m/>
    <m/>
    <m/>
    <m/>
    <m/>
    <n v="20"/>
    <m/>
    <m/>
    <n v="190"/>
  </r>
  <r>
    <d v="2026-01-18T00:00:00"/>
    <x v="0"/>
    <s v="16+"/>
    <x v="119"/>
    <x v="5"/>
    <n v="21"/>
    <m/>
    <n v="180"/>
    <m/>
    <m/>
    <m/>
    <m/>
    <m/>
    <m/>
    <m/>
    <m/>
    <m/>
    <m/>
    <m/>
    <m/>
    <n v="180"/>
  </r>
  <r>
    <d v="2026-01-18T00:00:00"/>
    <x v="0"/>
    <s v="40-"/>
    <x v="120"/>
    <x v="0"/>
    <n v="31"/>
    <m/>
    <m/>
    <m/>
    <m/>
    <m/>
    <n v="300"/>
    <m/>
    <m/>
    <m/>
    <m/>
    <m/>
    <n v="60"/>
    <m/>
    <m/>
    <n v="360"/>
  </r>
  <r>
    <d v="2026-01-18T00:00:00"/>
    <x v="0"/>
    <s v="22+"/>
    <x v="30"/>
    <x v="5"/>
    <n v="11"/>
    <m/>
    <m/>
    <n v="1"/>
    <m/>
    <m/>
    <m/>
    <m/>
    <m/>
    <m/>
    <m/>
    <m/>
    <m/>
    <m/>
    <m/>
    <n v="1"/>
  </r>
  <r>
    <d v="2026-01-18T00:00:00"/>
    <x v="0"/>
    <s v="6-"/>
    <x v="13"/>
    <x v="0"/>
    <n v="32"/>
    <m/>
    <m/>
    <m/>
    <m/>
    <m/>
    <m/>
    <m/>
    <m/>
    <m/>
    <m/>
    <m/>
    <n v="40"/>
    <m/>
    <m/>
    <n v="40"/>
  </r>
  <r>
    <d v="2026-01-18T00:00:00"/>
    <x v="0"/>
    <s v="35*"/>
    <x v="110"/>
    <x v="1"/>
    <n v="43"/>
    <m/>
    <m/>
    <m/>
    <m/>
    <m/>
    <m/>
    <m/>
    <m/>
    <m/>
    <m/>
    <m/>
    <n v="80"/>
    <m/>
    <m/>
    <n v="80"/>
  </r>
  <r>
    <d v="2026-01-18T00:00:00"/>
    <x v="0"/>
    <s v="52*"/>
    <x v="121"/>
    <x v="1"/>
    <n v="21"/>
    <m/>
    <m/>
    <m/>
    <m/>
    <m/>
    <m/>
    <m/>
    <m/>
    <m/>
    <m/>
    <m/>
    <n v="60"/>
    <m/>
    <m/>
    <n v="60"/>
  </r>
  <r>
    <d v="2026-01-18T00:00:00"/>
    <x v="0"/>
    <s v="32-"/>
    <x v="122"/>
    <x v="0"/>
    <n v="32"/>
    <m/>
    <m/>
    <m/>
    <m/>
    <m/>
    <m/>
    <m/>
    <m/>
    <m/>
    <m/>
    <m/>
    <n v="20"/>
    <m/>
    <m/>
    <n v="20"/>
  </r>
  <r>
    <d v="2026-01-18T00:00:00"/>
    <x v="0"/>
    <s v="44-"/>
    <x v="123"/>
    <x v="0"/>
    <n v="11"/>
    <m/>
    <m/>
    <m/>
    <m/>
    <m/>
    <m/>
    <m/>
    <m/>
    <m/>
    <m/>
    <m/>
    <n v="20"/>
    <m/>
    <m/>
    <n v="20"/>
  </r>
  <r>
    <d v="2026-01-18T00:00:00"/>
    <x v="0"/>
    <n v="60"/>
    <x v="35"/>
    <x v="2"/>
    <n v="22"/>
    <m/>
    <m/>
    <m/>
    <m/>
    <m/>
    <m/>
    <m/>
    <m/>
    <m/>
    <m/>
    <m/>
    <n v="100"/>
    <m/>
    <m/>
    <n v="100"/>
  </r>
  <r>
    <d v="2026-01-18T00:00:00"/>
    <x v="0"/>
    <n v="70"/>
    <x v="57"/>
    <x v="2"/>
    <n v="32"/>
    <m/>
    <m/>
    <m/>
    <m/>
    <m/>
    <m/>
    <m/>
    <m/>
    <m/>
    <m/>
    <m/>
    <n v="50"/>
    <m/>
    <m/>
    <n v="50"/>
  </r>
  <r>
    <d v="2026-01-18T00:00:00"/>
    <x v="0"/>
    <m/>
    <x v="124"/>
    <x v="3"/>
    <m/>
    <m/>
    <m/>
    <n v="17"/>
    <m/>
    <m/>
    <m/>
    <m/>
    <m/>
    <m/>
    <m/>
    <m/>
    <m/>
    <m/>
    <m/>
    <n v="17"/>
  </r>
  <r>
    <d v="2026-01-18T00:00:00"/>
    <x v="0"/>
    <m/>
    <x v="91"/>
    <x v="3"/>
    <m/>
    <m/>
    <m/>
    <m/>
    <m/>
    <m/>
    <m/>
    <m/>
    <m/>
    <m/>
    <m/>
    <m/>
    <m/>
    <m/>
    <m/>
    <n v="0"/>
  </r>
  <r>
    <d v="2026-01-18T00:00:00"/>
    <x v="0"/>
    <m/>
    <x v="21"/>
    <x v="3"/>
    <m/>
    <m/>
    <m/>
    <n v="30.1"/>
    <m/>
    <m/>
    <m/>
    <m/>
    <m/>
    <m/>
    <m/>
    <m/>
    <m/>
    <m/>
    <m/>
    <n v="30.1"/>
  </r>
  <r>
    <d v="2026-01-18T00:00:00"/>
    <x v="0"/>
    <n v="38"/>
    <x v="125"/>
    <x v="2"/>
    <n v="32"/>
    <m/>
    <m/>
    <m/>
    <m/>
    <m/>
    <m/>
    <m/>
    <m/>
    <m/>
    <m/>
    <m/>
    <n v="11"/>
    <m/>
    <m/>
    <n v="11"/>
  </r>
  <r>
    <d v="2026-01-18T00:00:00"/>
    <x v="0"/>
    <s v="54+"/>
    <x v="45"/>
    <x v="5"/>
    <n v="12"/>
    <s v="이체"/>
    <m/>
    <n v="10"/>
    <m/>
    <m/>
    <m/>
    <n v="40"/>
    <m/>
    <m/>
    <m/>
    <m/>
    <n v="20"/>
    <m/>
    <s v="해외후원"/>
    <n v="70"/>
  </r>
  <r>
    <d v="2026-01-18T00:00:00"/>
    <x v="0"/>
    <n v="16"/>
    <x v="126"/>
    <x v="2"/>
    <n v="31"/>
    <s v="이체"/>
    <n v="300"/>
    <n v="20"/>
    <n v="20"/>
    <m/>
    <m/>
    <m/>
    <n v="500"/>
    <m/>
    <m/>
    <n v="10"/>
    <n v="60"/>
    <m/>
    <s v="부지매입"/>
    <n v="910"/>
  </r>
  <r>
    <d v="2026-01-18T00:00:00"/>
    <x v="0"/>
    <s v="37*"/>
    <x v="127"/>
    <x v="1"/>
    <n v="31"/>
    <s v="이체"/>
    <n v="30"/>
    <n v="10"/>
    <n v="10"/>
    <m/>
    <m/>
    <m/>
    <n v="200"/>
    <m/>
    <m/>
    <n v="5"/>
    <n v="40"/>
    <m/>
    <s v="부지매입"/>
    <n v="295"/>
  </r>
  <r>
    <d v="2026-01-18T00:00:00"/>
    <x v="0"/>
    <n v="13"/>
    <x v="128"/>
    <x v="2"/>
    <n v="31"/>
    <s v="이체"/>
    <n v="500"/>
    <m/>
    <m/>
    <m/>
    <m/>
    <n v="200"/>
    <m/>
    <m/>
    <m/>
    <m/>
    <n v="100"/>
    <m/>
    <s v="해외후원"/>
    <n v="800"/>
  </r>
  <r>
    <d v="2026-01-18T00:00:00"/>
    <x v="0"/>
    <n v="6"/>
    <x v="41"/>
    <x v="2"/>
    <n v="41"/>
    <s v="이체"/>
    <m/>
    <n v="3"/>
    <m/>
    <m/>
    <m/>
    <m/>
    <n v="110"/>
    <m/>
    <m/>
    <m/>
    <n v="40"/>
    <m/>
    <s v="부지매입"/>
    <n v="153"/>
  </r>
  <r>
    <d v="2026-01-18T00:00:00"/>
    <x v="0"/>
    <s v="34+"/>
    <x v="44"/>
    <x v="5"/>
    <n v="43"/>
    <s v="이체"/>
    <m/>
    <n v="3"/>
    <m/>
    <m/>
    <m/>
    <m/>
    <m/>
    <m/>
    <m/>
    <m/>
    <m/>
    <m/>
    <m/>
    <n v="3"/>
  </r>
  <r>
    <d v="2026-01-18T00:00:00"/>
    <x v="0"/>
    <s v="29*"/>
    <x v="25"/>
    <x v="1"/>
    <n v="32"/>
    <s v="이체"/>
    <m/>
    <n v="25"/>
    <m/>
    <m/>
    <m/>
    <m/>
    <m/>
    <m/>
    <m/>
    <m/>
    <m/>
    <m/>
    <m/>
    <n v="25"/>
  </r>
  <r>
    <d v="2026-01-18T00:00:00"/>
    <x v="0"/>
    <s v="56+"/>
    <x v="109"/>
    <x v="5"/>
    <n v="42"/>
    <s v="이체"/>
    <m/>
    <n v="10"/>
    <m/>
    <m/>
    <m/>
    <m/>
    <m/>
    <m/>
    <m/>
    <m/>
    <n v="60"/>
    <m/>
    <m/>
    <n v="70"/>
  </r>
  <r>
    <d v="2026-01-18T00:00:00"/>
    <x v="0"/>
    <m/>
    <x v="91"/>
    <x v="6"/>
    <m/>
    <s v="이체"/>
    <m/>
    <n v="3.6"/>
    <m/>
    <m/>
    <m/>
    <m/>
    <m/>
    <m/>
    <m/>
    <m/>
    <m/>
    <m/>
    <m/>
    <n v="3.6"/>
  </r>
  <r>
    <d v="2026-01-18T00:00:00"/>
    <x v="0"/>
    <n v="63"/>
    <x v="101"/>
    <x v="2"/>
    <n v="43"/>
    <s v="이체"/>
    <n v="1000"/>
    <n v="50"/>
    <n v="2000"/>
    <n v="100"/>
    <m/>
    <m/>
    <m/>
    <n v="30"/>
    <n v="30"/>
    <n v="30"/>
    <m/>
    <m/>
    <m/>
    <n v="3240"/>
  </r>
  <r>
    <d v="2026-01-18T00:00:00"/>
    <x v="0"/>
    <s v="19+"/>
    <x v="129"/>
    <x v="5"/>
    <n v="32"/>
    <s v="이체"/>
    <n v="200"/>
    <m/>
    <m/>
    <m/>
    <m/>
    <m/>
    <m/>
    <m/>
    <m/>
    <m/>
    <m/>
    <m/>
    <m/>
    <n v="200"/>
  </r>
  <r>
    <d v="2026-01-18T00:00:00"/>
    <x v="0"/>
    <s v="11+"/>
    <x v="130"/>
    <x v="5"/>
    <n v="42"/>
    <s v="이체"/>
    <m/>
    <m/>
    <m/>
    <m/>
    <m/>
    <m/>
    <m/>
    <m/>
    <m/>
    <m/>
    <n v="60"/>
    <m/>
    <m/>
    <n v="60"/>
  </r>
  <r>
    <d v="2026-01-18T00:00:00"/>
    <x v="0"/>
    <s v="26*"/>
    <x v="39"/>
    <x v="1"/>
    <n v="43"/>
    <s v="이체"/>
    <m/>
    <m/>
    <m/>
    <m/>
    <m/>
    <m/>
    <m/>
    <m/>
    <m/>
    <m/>
    <n v="100"/>
    <m/>
    <m/>
    <n v="100"/>
  </r>
  <r>
    <d v="2026-01-18T00:00:00"/>
    <x v="0"/>
    <s v="78*"/>
    <x v="131"/>
    <x v="1"/>
    <n v="41"/>
    <s v="이체"/>
    <m/>
    <m/>
    <m/>
    <m/>
    <m/>
    <m/>
    <m/>
    <m/>
    <m/>
    <m/>
    <n v="100"/>
    <m/>
    <m/>
    <n v="100"/>
  </r>
  <r>
    <d v="2026-01-18T00:00:00"/>
    <x v="0"/>
    <n v="77"/>
    <x v="40"/>
    <x v="2"/>
    <n v="32"/>
    <s v="이체"/>
    <m/>
    <m/>
    <m/>
    <m/>
    <m/>
    <m/>
    <m/>
    <m/>
    <m/>
    <m/>
    <n v="20"/>
    <m/>
    <m/>
    <n v="20"/>
  </r>
  <r>
    <d v="2026-01-18T00:00:00"/>
    <x v="0"/>
    <s v="48*"/>
    <x v="132"/>
    <x v="1"/>
    <n v="11"/>
    <s v="이체"/>
    <n v="20"/>
    <m/>
    <m/>
    <m/>
    <m/>
    <m/>
    <n v="50"/>
    <m/>
    <m/>
    <n v="10"/>
    <n v="60"/>
    <m/>
    <s v="부지매입"/>
    <n v="140"/>
  </r>
  <r>
    <d v="2026-01-18T00:00:00"/>
    <x v="0"/>
    <s v="39+"/>
    <x v="93"/>
    <x v="5"/>
    <n v="43"/>
    <s v="이체"/>
    <m/>
    <n v="5"/>
    <m/>
    <m/>
    <m/>
    <m/>
    <m/>
    <m/>
    <m/>
    <m/>
    <m/>
    <m/>
    <m/>
    <n v="5"/>
  </r>
  <r>
    <d v="2026-01-18T00:00:00"/>
    <x v="0"/>
    <s v="36*"/>
    <x v="133"/>
    <x v="1"/>
    <n v="21"/>
    <s v="이체"/>
    <n v="100"/>
    <m/>
    <m/>
    <m/>
    <m/>
    <m/>
    <n v="100"/>
    <m/>
    <m/>
    <m/>
    <n v="60"/>
    <m/>
    <s v="부지매입"/>
    <n v="260"/>
  </r>
  <r>
    <d v="2026-01-18T00:00:00"/>
    <x v="0"/>
    <m/>
    <x v="134"/>
    <x v="5"/>
    <m/>
    <s v="이체"/>
    <m/>
    <m/>
    <m/>
    <n v="120"/>
    <m/>
    <m/>
    <m/>
    <m/>
    <m/>
    <m/>
    <m/>
    <m/>
    <s v="청년회집회헌금"/>
    <n v="120"/>
  </r>
  <r>
    <d v="2026-01-18T00:00:00"/>
    <x v="0"/>
    <s v="28*"/>
    <x v="135"/>
    <x v="1"/>
    <n v="32"/>
    <s v="이체"/>
    <n v="204"/>
    <m/>
    <m/>
    <m/>
    <m/>
    <m/>
    <m/>
    <m/>
    <m/>
    <m/>
    <n v="60"/>
    <m/>
    <m/>
    <n v="264"/>
  </r>
  <r>
    <d v="2026-01-18T00:00:00"/>
    <x v="0"/>
    <m/>
    <x v="136"/>
    <x v="3"/>
    <n v="11"/>
    <s v="이체"/>
    <m/>
    <m/>
    <m/>
    <n v="820"/>
    <m/>
    <m/>
    <m/>
    <m/>
    <m/>
    <m/>
    <m/>
    <m/>
    <s v="11구역집회헌금"/>
    <n v="820"/>
  </r>
  <r>
    <d v="2026-01-19T00:00:00"/>
    <x v="0"/>
    <s v="13+"/>
    <x v="51"/>
    <x v="5"/>
    <n v="31"/>
    <s v="이체"/>
    <m/>
    <n v="10"/>
    <m/>
    <m/>
    <m/>
    <m/>
    <m/>
    <m/>
    <m/>
    <m/>
    <m/>
    <m/>
    <m/>
    <n v="10"/>
  </r>
  <r>
    <d v="2026-01-19T00:00:00"/>
    <x v="0"/>
    <n v="58"/>
    <x v="89"/>
    <x v="2"/>
    <n v="43"/>
    <s v="이체"/>
    <n v="200"/>
    <n v="50"/>
    <m/>
    <m/>
    <m/>
    <m/>
    <n v="300"/>
    <m/>
    <m/>
    <m/>
    <n v="100"/>
    <m/>
    <s v="부지매입"/>
    <n v="650"/>
  </r>
  <r>
    <d v="2026-01-19T00:00:00"/>
    <x v="0"/>
    <s v="35+"/>
    <x v="137"/>
    <x v="5"/>
    <n v="12"/>
    <s v="이체"/>
    <n v="350"/>
    <m/>
    <m/>
    <m/>
    <m/>
    <m/>
    <m/>
    <m/>
    <m/>
    <m/>
    <n v="100"/>
    <m/>
    <m/>
    <n v="450"/>
  </r>
  <r>
    <d v="2026-01-19T00:00:00"/>
    <x v="0"/>
    <n v="50"/>
    <x v="138"/>
    <x v="2"/>
    <n v="42"/>
    <s v="이체"/>
    <n v="380"/>
    <n v="10"/>
    <n v="10"/>
    <m/>
    <m/>
    <m/>
    <m/>
    <n v="10"/>
    <m/>
    <n v="10"/>
    <n v="60"/>
    <m/>
    <m/>
    <n v="480"/>
  </r>
  <r>
    <d v="2026-01-19T00:00:00"/>
    <x v="0"/>
    <s v="25*"/>
    <x v="107"/>
    <x v="1"/>
    <n v="22"/>
    <s v="이체"/>
    <n v="150"/>
    <m/>
    <m/>
    <m/>
    <m/>
    <m/>
    <m/>
    <m/>
    <m/>
    <m/>
    <m/>
    <m/>
    <m/>
    <n v="150"/>
  </r>
  <r>
    <d v="2026-01-19T00:00:00"/>
    <x v="0"/>
    <m/>
    <x v="139"/>
    <x v="3"/>
    <n v="31"/>
    <s v="이체"/>
    <m/>
    <m/>
    <m/>
    <n v="740"/>
    <m/>
    <m/>
    <m/>
    <m/>
    <m/>
    <m/>
    <m/>
    <m/>
    <s v="31구역집회헌금"/>
    <n v="740"/>
  </r>
  <r>
    <d v="2026-01-19T00:00:00"/>
    <x v="0"/>
    <n v="3"/>
    <x v="140"/>
    <x v="2"/>
    <n v="41"/>
    <s v="이체"/>
    <n v="400"/>
    <m/>
    <m/>
    <m/>
    <m/>
    <m/>
    <m/>
    <m/>
    <m/>
    <m/>
    <m/>
    <m/>
    <m/>
    <n v="400"/>
  </r>
  <r>
    <d v="2026-01-19T00:00:00"/>
    <x v="0"/>
    <s v="102*"/>
    <x v="141"/>
    <x v="1"/>
    <n v="12"/>
    <s v="이체"/>
    <m/>
    <m/>
    <m/>
    <m/>
    <m/>
    <m/>
    <m/>
    <m/>
    <m/>
    <m/>
    <n v="60"/>
    <m/>
    <m/>
    <n v="60"/>
  </r>
  <r>
    <d v="2026-01-19T00:00:00"/>
    <x v="0"/>
    <s v="11-"/>
    <x v="142"/>
    <x v="0"/>
    <n v="21"/>
    <s v="이체"/>
    <m/>
    <m/>
    <m/>
    <m/>
    <m/>
    <m/>
    <m/>
    <m/>
    <m/>
    <m/>
    <n v="20"/>
    <m/>
    <m/>
    <n v="20"/>
  </r>
  <r>
    <d v="2026-01-20T00:00:00"/>
    <x v="0"/>
    <s v="87*"/>
    <x v="143"/>
    <x v="1"/>
    <n v="42"/>
    <s v="이체"/>
    <n v="500"/>
    <m/>
    <m/>
    <m/>
    <m/>
    <m/>
    <m/>
    <m/>
    <m/>
    <m/>
    <m/>
    <m/>
    <m/>
    <n v="500"/>
  </r>
  <r>
    <d v="2026-01-20T00:00:00"/>
    <x v="0"/>
    <s v="73*"/>
    <x v="144"/>
    <x v="1"/>
    <n v="22"/>
    <s v="이체"/>
    <n v="239"/>
    <n v="40"/>
    <m/>
    <m/>
    <m/>
    <m/>
    <m/>
    <m/>
    <m/>
    <m/>
    <m/>
    <m/>
    <m/>
    <n v="279"/>
  </r>
  <r>
    <d v="2026-01-20T00:00:00"/>
    <x v="0"/>
    <s v="8+"/>
    <x v="48"/>
    <x v="5"/>
    <n v="11"/>
    <s v="이체"/>
    <n v="100"/>
    <m/>
    <m/>
    <m/>
    <m/>
    <m/>
    <m/>
    <m/>
    <m/>
    <m/>
    <m/>
    <m/>
    <m/>
    <n v="100"/>
  </r>
  <r>
    <d v="2026-01-20T00:00:00"/>
    <x v="0"/>
    <n v="2"/>
    <x v="77"/>
    <x v="2"/>
    <n v="12"/>
    <s v="이체"/>
    <m/>
    <m/>
    <m/>
    <m/>
    <m/>
    <m/>
    <n v="1000"/>
    <m/>
    <m/>
    <m/>
    <m/>
    <m/>
    <s v="부지매입"/>
    <n v="1000"/>
  </r>
  <r>
    <d v="2026-01-20T00:00:00"/>
    <x v="0"/>
    <n v="24"/>
    <x v="145"/>
    <x v="2"/>
    <n v="12"/>
    <s v="이체"/>
    <m/>
    <m/>
    <m/>
    <m/>
    <m/>
    <m/>
    <n v="200"/>
    <m/>
    <m/>
    <m/>
    <m/>
    <m/>
    <s v="부지매입"/>
    <n v="200"/>
  </r>
  <r>
    <d v="2026-01-20T00:00:00"/>
    <x v="0"/>
    <s v="33*"/>
    <x v="146"/>
    <x v="1"/>
    <n v="42"/>
    <s v="이체"/>
    <m/>
    <m/>
    <m/>
    <m/>
    <m/>
    <m/>
    <n v="100"/>
    <m/>
    <m/>
    <m/>
    <m/>
    <m/>
    <s v="부지매입"/>
    <n v="100"/>
  </r>
  <r>
    <d v="2026-01-20T00:00:00"/>
    <x v="0"/>
    <s v="76*"/>
    <x v="147"/>
    <x v="1"/>
    <n v="32"/>
    <s v="이체"/>
    <m/>
    <m/>
    <m/>
    <m/>
    <m/>
    <m/>
    <m/>
    <m/>
    <m/>
    <m/>
    <n v="20"/>
    <m/>
    <m/>
    <n v="20"/>
  </r>
  <r>
    <d v="2026-01-20T00:00:00"/>
    <x v="0"/>
    <s v="28-"/>
    <x v="148"/>
    <x v="0"/>
    <n v="32"/>
    <s v="이체"/>
    <m/>
    <m/>
    <m/>
    <m/>
    <m/>
    <m/>
    <m/>
    <m/>
    <m/>
    <m/>
    <n v="20"/>
    <m/>
    <m/>
    <n v="20"/>
  </r>
  <r>
    <d v="2026-01-20T00:00:00"/>
    <x v="0"/>
    <n v="11"/>
    <x v="88"/>
    <x v="2"/>
    <n v="32"/>
    <s v="이체"/>
    <m/>
    <m/>
    <m/>
    <m/>
    <m/>
    <m/>
    <m/>
    <m/>
    <m/>
    <m/>
    <n v="480"/>
    <m/>
    <s v="12개월분"/>
    <n v="480"/>
  </r>
  <r>
    <d v="2026-01-21T00:00:00"/>
    <x v="0"/>
    <s v="29*"/>
    <x v="25"/>
    <x v="1"/>
    <n v="32"/>
    <s v="이체"/>
    <n v="200"/>
    <m/>
    <m/>
    <m/>
    <m/>
    <m/>
    <m/>
    <m/>
    <m/>
    <m/>
    <n v="1160"/>
    <m/>
    <s v="리느에르,선교분담완남"/>
    <n v="1360"/>
  </r>
  <r>
    <d v="2026-01-21T00:00:00"/>
    <x v="0"/>
    <n v="54"/>
    <x v="149"/>
    <x v="2"/>
    <n v="12"/>
    <s v="이체"/>
    <n v="400"/>
    <m/>
    <m/>
    <m/>
    <m/>
    <m/>
    <m/>
    <m/>
    <m/>
    <m/>
    <m/>
    <m/>
    <m/>
    <n v="400"/>
  </r>
  <r>
    <d v="2026-01-21T00:00:00"/>
    <x v="0"/>
    <s v="38-"/>
    <x v="150"/>
    <x v="0"/>
    <n v="31"/>
    <s v="이체"/>
    <n v="200"/>
    <m/>
    <m/>
    <m/>
    <m/>
    <m/>
    <m/>
    <m/>
    <m/>
    <m/>
    <m/>
    <m/>
    <m/>
    <n v="200"/>
  </r>
  <r>
    <d v="2026-01-21T00:00:00"/>
    <x v="0"/>
    <n v="49"/>
    <x v="151"/>
    <x v="2"/>
    <n v="11"/>
    <s v="이체"/>
    <n v="190"/>
    <n v="10"/>
    <m/>
    <m/>
    <m/>
    <m/>
    <n v="200"/>
    <m/>
    <m/>
    <m/>
    <n v="60"/>
    <m/>
    <s v="부지매입"/>
    <n v="460"/>
  </r>
  <r>
    <d v="2026-01-21T00:00:00"/>
    <x v="0"/>
    <s v="23*"/>
    <x v="152"/>
    <x v="1"/>
    <n v="22"/>
    <s v="이체"/>
    <n v="193.89"/>
    <m/>
    <m/>
    <m/>
    <m/>
    <m/>
    <n v="84"/>
    <m/>
    <m/>
    <m/>
    <m/>
    <m/>
    <s v="부지매입"/>
    <n v="277.89"/>
  </r>
  <r>
    <d v="2026-01-21T00:00:00"/>
    <x v="0"/>
    <s v="13*"/>
    <x v="106"/>
    <x v="1"/>
    <n v="43"/>
    <s v="이체"/>
    <m/>
    <m/>
    <m/>
    <m/>
    <m/>
    <m/>
    <m/>
    <m/>
    <m/>
    <m/>
    <n v="60"/>
    <m/>
    <m/>
    <n v="60"/>
  </r>
  <r>
    <d v="2026-01-22T00:00:00"/>
    <x v="0"/>
    <s v="60+"/>
    <x v="153"/>
    <x v="5"/>
    <n v="31"/>
    <s v="이체"/>
    <n v="300"/>
    <m/>
    <m/>
    <m/>
    <m/>
    <m/>
    <m/>
    <m/>
    <m/>
    <m/>
    <m/>
    <m/>
    <m/>
    <n v="300"/>
  </r>
  <r>
    <d v="2026-01-23T00:00:00"/>
    <x v="0"/>
    <m/>
    <x v="154"/>
    <x v="3"/>
    <n v="42"/>
    <s v="이체"/>
    <m/>
    <m/>
    <m/>
    <n v="620"/>
    <m/>
    <m/>
    <m/>
    <m/>
    <m/>
    <m/>
    <m/>
    <m/>
    <s v="42구역집회헌금"/>
    <n v="620"/>
  </r>
  <r>
    <d v="2026-01-23T00:00:00"/>
    <x v="0"/>
    <s v="75*"/>
    <x v="155"/>
    <x v="1"/>
    <n v="41"/>
    <s v="이체"/>
    <n v="200"/>
    <m/>
    <m/>
    <m/>
    <m/>
    <m/>
    <m/>
    <m/>
    <m/>
    <m/>
    <m/>
    <m/>
    <m/>
    <n v="200"/>
  </r>
  <r>
    <d v="2026-01-23T00:00:00"/>
    <x v="0"/>
    <s v="99*"/>
    <x v="156"/>
    <x v="1"/>
    <n v="42"/>
    <s v="이체"/>
    <n v="270"/>
    <n v="40"/>
    <n v="10"/>
    <m/>
    <n v="10"/>
    <m/>
    <m/>
    <n v="10"/>
    <n v="10"/>
    <n v="10"/>
    <n v="10"/>
    <m/>
    <m/>
    <n v="370"/>
  </r>
  <r>
    <d v="2026-01-23T00:00:00"/>
    <x v="0"/>
    <s v="39*"/>
    <x v="157"/>
    <x v="1"/>
    <n v="32"/>
    <s v="이체"/>
    <m/>
    <n v="20"/>
    <m/>
    <m/>
    <m/>
    <m/>
    <m/>
    <n v="40"/>
    <n v="40"/>
    <m/>
    <m/>
    <m/>
    <m/>
    <n v="100"/>
  </r>
  <r>
    <d v="2026-01-23T00:00:00"/>
    <x v="0"/>
    <s v="45-"/>
    <x v="158"/>
    <x v="0"/>
    <n v="11"/>
    <s v="이체"/>
    <m/>
    <m/>
    <m/>
    <m/>
    <m/>
    <m/>
    <m/>
    <m/>
    <m/>
    <m/>
    <n v="20"/>
    <m/>
    <m/>
    <n v="20"/>
  </r>
  <r>
    <d v="2026-01-24T00:00:00"/>
    <x v="0"/>
    <m/>
    <x v="159"/>
    <x v="3"/>
    <m/>
    <s v="이체"/>
    <m/>
    <m/>
    <m/>
    <m/>
    <m/>
    <n v="960"/>
    <m/>
    <m/>
    <m/>
    <m/>
    <m/>
    <m/>
    <s v="동계헌금"/>
    <n v="960"/>
  </r>
  <r>
    <d v="2026-01-24T00:00:00"/>
    <x v="0"/>
    <m/>
    <x v="160"/>
    <x v="3"/>
    <m/>
    <s v="이체"/>
    <m/>
    <m/>
    <m/>
    <m/>
    <m/>
    <m/>
    <m/>
    <m/>
    <m/>
    <m/>
    <m/>
    <n v="800"/>
    <s v="대집회식대반환"/>
    <n v="800"/>
  </r>
  <r>
    <d v="2026-01-24T00:00:00"/>
    <x v="0"/>
    <s v="37+"/>
    <x v="161"/>
    <x v="5"/>
    <n v="12"/>
    <s v="이체"/>
    <n v="250"/>
    <n v="40"/>
    <n v="10"/>
    <n v="50"/>
    <n v="10"/>
    <n v="50"/>
    <n v="10"/>
    <n v="10"/>
    <n v="10"/>
    <n v="10"/>
    <n v="60"/>
    <m/>
    <s v="해외후원미납금"/>
    <n v="510"/>
  </r>
  <r>
    <d v="2026-01-24T00:00:00"/>
    <x v="0"/>
    <s v="41+"/>
    <x v="162"/>
    <x v="5"/>
    <n v="11"/>
    <s v="이체"/>
    <n v="50"/>
    <m/>
    <m/>
    <m/>
    <m/>
    <m/>
    <n v="50"/>
    <m/>
    <m/>
    <m/>
    <m/>
    <m/>
    <m/>
    <n v="100"/>
  </r>
  <r>
    <d v="2026-01-24T00:00:00"/>
    <x v="0"/>
    <m/>
    <x v="139"/>
    <x v="3"/>
    <n v="31"/>
    <s v="이체"/>
    <m/>
    <m/>
    <m/>
    <n v="30"/>
    <m/>
    <m/>
    <m/>
    <m/>
    <m/>
    <m/>
    <m/>
    <m/>
    <s v="31구역집회헌금"/>
    <n v="30"/>
  </r>
  <r>
    <d v="2026-01-24T00:00:00"/>
    <x v="0"/>
    <s v="39+"/>
    <x v="93"/>
    <x v="5"/>
    <n v="43"/>
    <s v="이체"/>
    <m/>
    <n v="5"/>
    <m/>
    <m/>
    <m/>
    <m/>
    <m/>
    <m/>
    <m/>
    <m/>
    <m/>
    <m/>
    <m/>
    <n v="5"/>
  </r>
  <r>
    <d v="2026-01-24T00:00:00"/>
    <x v="0"/>
    <m/>
    <x v="134"/>
    <x v="3"/>
    <m/>
    <s v="이체"/>
    <m/>
    <m/>
    <m/>
    <n v="160"/>
    <m/>
    <m/>
    <m/>
    <m/>
    <m/>
    <m/>
    <m/>
    <m/>
    <m/>
    <n v="160"/>
  </r>
  <r>
    <d v="2026-01-25T00:00:00"/>
    <x v="0"/>
    <s v="24-"/>
    <x v="3"/>
    <x v="0"/>
    <n v="42"/>
    <m/>
    <n v="30"/>
    <n v="20"/>
    <m/>
    <m/>
    <m/>
    <m/>
    <n v="100"/>
    <m/>
    <m/>
    <m/>
    <m/>
    <m/>
    <s v="부지매입"/>
    <n v="150"/>
  </r>
  <r>
    <d v="2026-01-25T00:00:00"/>
    <x v="0"/>
    <n v="57"/>
    <x v="19"/>
    <x v="2"/>
    <n v="41"/>
    <m/>
    <n v="100"/>
    <n v="10"/>
    <m/>
    <m/>
    <m/>
    <m/>
    <m/>
    <m/>
    <m/>
    <m/>
    <m/>
    <m/>
    <m/>
    <n v="110"/>
  </r>
  <r>
    <d v="2026-01-25T00:00:00"/>
    <x v="0"/>
    <s v="39-"/>
    <x v="163"/>
    <x v="0"/>
    <n v="43"/>
    <m/>
    <n v="70"/>
    <m/>
    <m/>
    <m/>
    <m/>
    <m/>
    <m/>
    <m/>
    <m/>
    <m/>
    <m/>
    <m/>
    <m/>
    <n v="70"/>
  </r>
  <r>
    <d v="2026-01-25T00:00:00"/>
    <x v="0"/>
    <s v="53*"/>
    <x v="164"/>
    <x v="1"/>
    <n v="22"/>
    <m/>
    <m/>
    <m/>
    <m/>
    <m/>
    <m/>
    <m/>
    <n v="300"/>
    <m/>
    <m/>
    <m/>
    <m/>
    <m/>
    <s v="페루건축미남헌금"/>
    <n v="300"/>
  </r>
  <r>
    <d v="2026-01-25T00:00:00"/>
    <x v="0"/>
    <n v="72"/>
    <x v="18"/>
    <x v="2"/>
    <n v="41"/>
    <m/>
    <m/>
    <n v="10"/>
    <m/>
    <m/>
    <m/>
    <m/>
    <n v="30"/>
    <m/>
    <m/>
    <m/>
    <n v="20"/>
    <m/>
    <m/>
    <n v="60"/>
  </r>
  <r>
    <d v="2026-01-25T00:00:00"/>
    <x v="0"/>
    <s v="9-"/>
    <x v="11"/>
    <x v="0"/>
    <n v="21"/>
    <m/>
    <m/>
    <m/>
    <m/>
    <m/>
    <n v="20"/>
    <m/>
    <m/>
    <m/>
    <m/>
    <m/>
    <m/>
    <m/>
    <m/>
    <n v="20"/>
  </r>
  <r>
    <d v="2026-01-25T00:00:00"/>
    <x v="0"/>
    <s v="83*"/>
    <x v="165"/>
    <x v="1"/>
    <n v="41"/>
    <m/>
    <n v="50"/>
    <m/>
    <m/>
    <m/>
    <n v="10"/>
    <m/>
    <m/>
    <n v="10"/>
    <n v="10"/>
    <n v="10"/>
    <m/>
    <m/>
    <m/>
    <n v="90"/>
  </r>
  <r>
    <d v="2026-01-25T00:00:00"/>
    <x v="0"/>
    <n v="69"/>
    <x v="166"/>
    <x v="2"/>
    <n v="41"/>
    <m/>
    <n v="510"/>
    <m/>
    <m/>
    <m/>
    <m/>
    <m/>
    <m/>
    <m/>
    <m/>
    <m/>
    <m/>
    <m/>
    <m/>
    <n v="510"/>
  </r>
  <r>
    <d v="2026-01-25T00:00:00"/>
    <x v="0"/>
    <n v="68"/>
    <x v="87"/>
    <x v="2"/>
    <n v="41"/>
    <m/>
    <n v="100"/>
    <n v="10"/>
    <m/>
    <m/>
    <m/>
    <m/>
    <m/>
    <m/>
    <m/>
    <m/>
    <m/>
    <m/>
    <m/>
    <n v="110"/>
  </r>
  <r>
    <d v="2026-01-25T00:00:00"/>
    <x v="0"/>
    <n v="25"/>
    <x v="27"/>
    <x v="2"/>
    <n v="11"/>
    <m/>
    <m/>
    <n v="10"/>
    <m/>
    <m/>
    <m/>
    <m/>
    <m/>
    <m/>
    <m/>
    <m/>
    <m/>
    <m/>
    <m/>
    <n v="10"/>
  </r>
  <r>
    <d v="2026-01-25T00:00:00"/>
    <x v="0"/>
    <s v="44+"/>
    <x v="80"/>
    <x v="5"/>
    <n v="21"/>
    <m/>
    <m/>
    <n v="2"/>
    <m/>
    <n v="1"/>
    <m/>
    <m/>
    <m/>
    <n v="1"/>
    <m/>
    <m/>
    <m/>
    <m/>
    <m/>
    <n v="4"/>
  </r>
  <r>
    <d v="2026-01-25T00:00:00"/>
    <x v="0"/>
    <n v="1"/>
    <x v="20"/>
    <x v="2"/>
    <n v="11"/>
    <m/>
    <n v="390"/>
    <n v="10"/>
    <n v="50"/>
    <m/>
    <m/>
    <m/>
    <n v="700"/>
    <n v="80"/>
    <n v="50"/>
    <n v="20"/>
    <n v="80"/>
    <m/>
    <s v="부지매입"/>
    <n v="1380"/>
  </r>
  <r>
    <d v="2026-01-25T00:00:00"/>
    <x v="0"/>
    <s v="19*"/>
    <x v="167"/>
    <x v="1"/>
    <n v="11"/>
    <m/>
    <n v="100"/>
    <m/>
    <m/>
    <m/>
    <m/>
    <m/>
    <m/>
    <m/>
    <m/>
    <m/>
    <m/>
    <m/>
    <m/>
    <n v="100"/>
  </r>
  <r>
    <d v="2026-01-25T00:00:00"/>
    <x v="0"/>
    <s v="1*"/>
    <x v="15"/>
    <x v="1"/>
    <n v="11"/>
    <m/>
    <n v="100"/>
    <n v="20"/>
    <n v="30"/>
    <m/>
    <n v="800"/>
    <m/>
    <n v="350"/>
    <n v="50"/>
    <n v="30"/>
    <n v="10"/>
    <n v="60"/>
    <m/>
    <s v="부지매입"/>
    <n v="1450"/>
  </r>
  <r>
    <d v="2026-01-25T00:00:00"/>
    <x v="0"/>
    <n v="45"/>
    <x v="168"/>
    <x v="2"/>
    <n v="21"/>
    <m/>
    <n v="700"/>
    <n v="20"/>
    <m/>
    <m/>
    <m/>
    <m/>
    <m/>
    <m/>
    <m/>
    <m/>
    <n v="60"/>
    <m/>
    <m/>
    <n v="780"/>
  </r>
  <r>
    <d v="2026-01-25T00:00:00"/>
    <x v="0"/>
    <s v="35-"/>
    <x v="6"/>
    <x v="0"/>
    <n v="32"/>
    <m/>
    <n v="80"/>
    <m/>
    <m/>
    <m/>
    <m/>
    <m/>
    <m/>
    <m/>
    <m/>
    <m/>
    <n v="20"/>
    <m/>
    <m/>
    <n v="100"/>
  </r>
  <r>
    <d v="2026-01-25T00:00:00"/>
    <x v="0"/>
    <s v="29-"/>
    <x v="7"/>
    <x v="0"/>
    <n v="32"/>
    <m/>
    <m/>
    <m/>
    <m/>
    <m/>
    <m/>
    <m/>
    <m/>
    <m/>
    <m/>
    <m/>
    <n v="20"/>
    <m/>
    <m/>
    <n v="20"/>
  </r>
  <r>
    <d v="2026-01-25T00:00:00"/>
    <x v="0"/>
    <s v="80*"/>
    <x v="169"/>
    <x v="1"/>
    <n v="21"/>
    <m/>
    <m/>
    <m/>
    <m/>
    <m/>
    <m/>
    <m/>
    <m/>
    <m/>
    <m/>
    <m/>
    <n v="20"/>
    <m/>
    <m/>
    <n v="20"/>
  </r>
  <r>
    <d v="2026-01-25T00:00:00"/>
    <x v="0"/>
    <s v="99*"/>
    <x v="156"/>
    <x v="1"/>
    <n v="42"/>
    <m/>
    <m/>
    <m/>
    <m/>
    <m/>
    <m/>
    <m/>
    <m/>
    <m/>
    <m/>
    <m/>
    <n v="20"/>
    <m/>
    <m/>
    <n v="20"/>
  </r>
  <r>
    <d v="2026-01-25T00:00:00"/>
    <x v="0"/>
    <m/>
    <x v="170"/>
    <x v="3"/>
    <m/>
    <m/>
    <m/>
    <m/>
    <m/>
    <n v="50"/>
    <m/>
    <m/>
    <m/>
    <m/>
    <m/>
    <m/>
    <m/>
    <m/>
    <m/>
    <n v="50"/>
  </r>
  <r>
    <d v="2026-01-25T00:00:00"/>
    <x v="0"/>
    <m/>
    <x v="171"/>
    <x v="3"/>
    <m/>
    <m/>
    <m/>
    <m/>
    <m/>
    <n v="30"/>
    <m/>
    <m/>
    <m/>
    <m/>
    <m/>
    <m/>
    <m/>
    <m/>
    <m/>
    <n v="30"/>
  </r>
  <r>
    <d v="2026-01-25T00:00:00"/>
    <x v="0"/>
    <m/>
    <x v="172"/>
    <x v="3"/>
    <m/>
    <m/>
    <m/>
    <m/>
    <m/>
    <n v="130"/>
    <m/>
    <m/>
    <m/>
    <m/>
    <m/>
    <m/>
    <m/>
    <m/>
    <m/>
    <n v="130"/>
  </r>
  <r>
    <d v="2026-01-25T00:00:00"/>
    <x v="0"/>
    <m/>
    <x v="124"/>
    <x v="3"/>
    <m/>
    <m/>
    <m/>
    <n v="8"/>
    <m/>
    <m/>
    <m/>
    <m/>
    <m/>
    <m/>
    <m/>
    <m/>
    <n v="6"/>
    <m/>
    <m/>
    <n v="14"/>
  </r>
  <r>
    <d v="2026-01-25T00:00:00"/>
    <x v="0"/>
    <m/>
    <x v="91"/>
    <x v="3"/>
    <m/>
    <m/>
    <m/>
    <m/>
    <m/>
    <m/>
    <m/>
    <m/>
    <m/>
    <m/>
    <m/>
    <m/>
    <m/>
    <m/>
    <m/>
    <n v="0"/>
  </r>
  <r>
    <d v="2026-01-25T00:00:00"/>
    <x v="0"/>
    <m/>
    <x v="21"/>
    <x v="3"/>
    <m/>
    <m/>
    <m/>
    <n v="20"/>
    <m/>
    <m/>
    <m/>
    <m/>
    <m/>
    <m/>
    <m/>
    <m/>
    <m/>
    <m/>
    <m/>
    <n v="20"/>
  </r>
  <r>
    <d v="2026-01-25T00:00:00"/>
    <x v="0"/>
    <m/>
    <x v="22"/>
    <x v="4"/>
    <e v="#N/A"/>
    <m/>
    <m/>
    <m/>
    <m/>
    <m/>
    <m/>
    <m/>
    <m/>
    <m/>
    <m/>
    <m/>
    <m/>
    <m/>
    <m/>
    <n v="0"/>
  </r>
  <r>
    <d v="2026-01-25T00:00:00"/>
    <x v="0"/>
    <s v="56*"/>
    <x v="173"/>
    <x v="1"/>
    <n v="21"/>
    <s v="이체"/>
    <m/>
    <m/>
    <m/>
    <m/>
    <m/>
    <m/>
    <m/>
    <m/>
    <m/>
    <m/>
    <n v="60"/>
    <m/>
    <m/>
    <n v="60"/>
  </r>
  <r>
    <d v="2026-01-25T00:00:00"/>
    <x v="0"/>
    <s v="20+"/>
    <x v="174"/>
    <x v="5"/>
    <n v="42"/>
    <s v="이체"/>
    <m/>
    <m/>
    <m/>
    <m/>
    <m/>
    <m/>
    <m/>
    <m/>
    <m/>
    <m/>
    <n v="20"/>
    <m/>
    <m/>
    <n v="20"/>
  </r>
  <r>
    <d v="2026-01-25T00:00:00"/>
    <x v="0"/>
    <s v="5*"/>
    <x v="175"/>
    <x v="1"/>
    <n v="12"/>
    <s v="이체"/>
    <m/>
    <m/>
    <m/>
    <m/>
    <m/>
    <m/>
    <m/>
    <m/>
    <m/>
    <m/>
    <n v="60"/>
    <m/>
    <m/>
    <n v="60"/>
  </r>
  <r>
    <d v="2026-01-25T00:00:00"/>
    <x v="0"/>
    <n v="56"/>
    <x v="176"/>
    <x v="2"/>
    <n v="12"/>
    <s v="이체"/>
    <m/>
    <m/>
    <m/>
    <m/>
    <m/>
    <m/>
    <m/>
    <m/>
    <m/>
    <m/>
    <n v="60"/>
    <m/>
    <m/>
    <n v="60"/>
  </r>
  <r>
    <d v="2026-01-25T00:00:00"/>
    <x v="0"/>
    <s v="34+"/>
    <x v="44"/>
    <x v="5"/>
    <n v="43"/>
    <s v="이체"/>
    <m/>
    <n v="3"/>
    <m/>
    <m/>
    <m/>
    <m/>
    <m/>
    <m/>
    <m/>
    <m/>
    <n v="60"/>
    <m/>
    <m/>
    <n v="63"/>
  </r>
  <r>
    <d v="2026-01-25T00:00:00"/>
    <x v="0"/>
    <s v="60*"/>
    <x v="177"/>
    <x v="1"/>
    <n v="31"/>
    <s v="이체"/>
    <n v="120"/>
    <n v="10"/>
    <m/>
    <m/>
    <m/>
    <m/>
    <m/>
    <n v="10"/>
    <m/>
    <m/>
    <n v="60"/>
    <m/>
    <m/>
    <n v="200"/>
  </r>
  <r>
    <d v="2026-01-25T00:00:00"/>
    <x v="0"/>
    <s v="40+"/>
    <x v="95"/>
    <x v="5"/>
    <n v="43"/>
    <s v="이체"/>
    <n v="350"/>
    <n v="5"/>
    <m/>
    <m/>
    <m/>
    <m/>
    <m/>
    <m/>
    <m/>
    <m/>
    <m/>
    <m/>
    <m/>
    <n v="355"/>
  </r>
  <r>
    <d v="2026-01-25T00:00:00"/>
    <x v="0"/>
    <m/>
    <x v="178"/>
    <x v="3"/>
    <n v="32"/>
    <s v="이체"/>
    <m/>
    <m/>
    <m/>
    <n v="860.11900000000003"/>
    <m/>
    <m/>
    <m/>
    <m/>
    <m/>
    <m/>
    <m/>
    <m/>
    <s v="32구역집회헌금"/>
    <n v="860.11900000000003"/>
  </r>
  <r>
    <d v="2026-01-25T00:00:00"/>
    <x v="0"/>
    <m/>
    <x v="91"/>
    <x v="6"/>
    <m/>
    <s v="이체"/>
    <m/>
    <n v="4.5999999999999996"/>
    <m/>
    <m/>
    <m/>
    <m/>
    <m/>
    <m/>
    <m/>
    <m/>
    <m/>
    <m/>
    <m/>
    <n v="4.5999999999999996"/>
  </r>
  <r>
    <d v="2026-01-25T00:00:00"/>
    <x v="0"/>
    <s v="20+"/>
    <x v="174"/>
    <x v="5"/>
    <n v="42"/>
    <s v="이체"/>
    <n v="250"/>
    <m/>
    <m/>
    <m/>
    <m/>
    <m/>
    <m/>
    <m/>
    <m/>
    <m/>
    <m/>
    <m/>
    <m/>
    <n v="250"/>
  </r>
  <r>
    <d v="2026-01-25T00:00:00"/>
    <x v="0"/>
    <s v="5*"/>
    <x v="175"/>
    <x v="1"/>
    <n v="12"/>
    <s v="이체"/>
    <n v="30"/>
    <n v="10"/>
    <m/>
    <m/>
    <m/>
    <m/>
    <m/>
    <n v="20"/>
    <m/>
    <m/>
    <m/>
    <m/>
    <m/>
    <n v="60"/>
  </r>
  <r>
    <d v="2026-01-25T00:00:00"/>
    <x v="0"/>
    <n v="56"/>
    <x v="176"/>
    <x v="2"/>
    <n v="12"/>
    <s v="이체"/>
    <n v="450"/>
    <n v="10"/>
    <m/>
    <m/>
    <m/>
    <m/>
    <m/>
    <n v="20"/>
    <m/>
    <m/>
    <m/>
    <m/>
    <m/>
    <n v="480"/>
  </r>
  <r>
    <d v="2026-01-25T00:00:00"/>
    <x v="0"/>
    <s v="29*"/>
    <x v="25"/>
    <x v="1"/>
    <n v="32"/>
    <s v="이체"/>
    <m/>
    <n v="20"/>
    <m/>
    <m/>
    <m/>
    <m/>
    <m/>
    <m/>
    <m/>
    <m/>
    <m/>
    <m/>
    <m/>
    <n v="20"/>
  </r>
  <r>
    <d v="2026-01-25T00:00:00"/>
    <x v="0"/>
    <n v="32"/>
    <x v="179"/>
    <x v="2"/>
    <n v="31"/>
    <s v="이체"/>
    <n v="280"/>
    <n v="10"/>
    <m/>
    <m/>
    <m/>
    <m/>
    <m/>
    <n v="10"/>
    <m/>
    <m/>
    <m/>
    <m/>
    <m/>
    <n v="300"/>
  </r>
  <r>
    <d v="2026-01-25T00:00:00"/>
    <x v="0"/>
    <m/>
    <x v="180"/>
    <x v="3"/>
    <n v="21"/>
    <s v="이체"/>
    <m/>
    <m/>
    <m/>
    <n v="550"/>
    <m/>
    <m/>
    <m/>
    <m/>
    <m/>
    <m/>
    <m/>
    <m/>
    <s v="21구역 집회 헌금"/>
    <n v="550"/>
  </r>
  <r>
    <d v="2026-01-25T00:00:00"/>
    <x v="0"/>
    <s v="43-"/>
    <x v="43"/>
    <x v="0"/>
    <n v="43"/>
    <s v="이체"/>
    <m/>
    <m/>
    <m/>
    <m/>
    <m/>
    <m/>
    <n v="30"/>
    <m/>
    <m/>
    <m/>
    <m/>
    <m/>
    <m/>
    <n v="30"/>
  </r>
  <r>
    <d v="2026-01-26T00:00:00"/>
    <x v="0"/>
    <n v="21"/>
    <x v="64"/>
    <x v="2"/>
    <n v="41"/>
    <s v="이체"/>
    <n v="80"/>
    <m/>
    <m/>
    <m/>
    <m/>
    <m/>
    <n v="100"/>
    <m/>
    <m/>
    <m/>
    <m/>
    <m/>
    <m/>
    <n v="180"/>
  </r>
  <r>
    <d v="2026-01-26T00:00:00"/>
    <x v="0"/>
    <m/>
    <x v="181"/>
    <x v="3"/>
    <m/>
    <s v="이체"/>
    <m/>
    <m/>
    <m/>
    <m/>
    <m/>
    <m/>
    <m/>
    <m/>
    <m/>
    <m/>
    <m/>
    <n v="72.5"/>
    <m/>
    <n v="72.5"/>
  </r>
  <r>
    <d v="2026-01-26T00:00:00"/>
    <x v="0"/>
    <n v="59"/>
    <x v="182"/>
    <x v="2"/>
    <n v="32"/>
    <s v="이체"/>
    <n v="300"/>
    <m/>
    <m/>
    <m/>
    <m/>
    <m/>
    <n v="100"/>
    <m/>
    <m/>
    <m/>
    <m/>
    <m/>
    <s v="부지매입"/>
    <n v="400"/>
  </r>
  <r>
    <d v="2026-01-26T00:00:00"/>
    <x v="0"/>
    <n v="37"/>
    <x v="183"/>
    <x v="2"/>
    <n v="22"/>
    <s v="이체"/>
    <n v="200"/>
    <n v="20"/>
    <n v="10"/>
    <m/>
    <m/>
    <m/>
    <n v="400"/>
    <n v="10"/>
    <n v="10"/>
    <n v="10"/>
    <n v="30"/>
    <m/>
    <s v="부지매입"/>
    <n v="690"/>
  </r>
  <r>
    <d v="2026-01-26T00:00:00"/>
    <x v="0"/>
    <s v="94*"/>
    <x v="184"/>
    <x v="1"/>
    <n v="12"/>
    <s v="이체"/>
    <n v="50"/>
    <m/>
    <m/>
    <m/>
    <m/>
    <m/>
    <m/>
    <m/>
    <m/>
    <m/>
    <n v="60"/>
    <m/>
    <m/>
    <n v="110"/>
  </r>
  <r>
    <d v="2026-01-26T00:00:00"/>
    <x v="0"/>
    <s v="89*"/>
    <x v="29"/>
    <x v="1"/>
    <n v="12"/>
    <s v="이체"/>
    <n v="50"/>
    <m/>
    <m/>
    <m/>
    <m/>
    <m/>
    <m/>
    <m/>
    <m/>
    <m/>
    <n v="60"/>
    <m/>
    <m/>
    <n v="110"/>
  </r>
  <r>
    <d v="2026-01-26T00:00:00"/>
    <x v="0"/>
    <s v="44*"/>
    <x v="185"/>
    <x v="1"/>
    <n v="41"/>
    <s v="이체"/>
    <n v="40"/>
    <m/>
    <m/>
    <m/>
    <m/>
    <m/>
    <n v="100"/>
    <m/>
    <m/>
    <m/>
    <m/>
    <m/>
    <s v="부지매입"/>
    <n v="140"/>
  </r>
  <r>
    <d v="2026-01-26T00:00:00"/>
    <x v="0"/>
    <s v="14+"/>
    <x v="186"/>
    <x v="5"/>
    <n v="22"/>
    <s v="이체"/>
    <n v="260"/>
    <m/>
    <m/>
    <m/>
    <m/>
    <m/>
    <m/>
    <m/>
    <m/>
    <m/>
    <m/>
    <m/>
    <m/>
    <n v="260"/>
  </r>
  <r>
    <d v="2026-01-26T00:00:00"/>
    <x v="0"/>
    <s v="39+"/>
    <x v="93"/>
    <x v="5"/>
    <n v="43"/>
    <s v="이체"/>
    <n v="430"/>
    <m/>
    <n v="10"/>
    <m/>
    <m/>
    <m/>
    <m/>
    <m/>
    <m/>
    <m/>
    <n v="60"/>
    <m/>
    <m/>
    <n v="500"/>
  </r>
  <r>
    <d v="2026-01-26T00:00:00"/>
    <x v="0"/>
    <s v="9*"/>
    <x v="187"/>
    <x v="1"/>
    <n v="42"/>
    <s v="이체"/>
    <m/>
    <m/>
    <m/>
    <m/>
    <m/>
    <m/>
    <n v="1000"/>
    <m/>
    <m/>
    <m/>
    <m/>
    <m/>
    <s v="부지매입"/>
    <n v="1000"/>
  </r>
  <r>
    <d v="2026-01-26T00:00:00"/>
    <x v="0"/>
    <s v="13+"/>
    <x v="51"/>
    <x v="5"/>
    <n v="31"/>
    <s v="이체"/>
    <n v="253.7"/>
    <m/>
    <m/>
    <m/>
    <m/>
    <m/>
    <n v="150"/>
    <m/>
    <m/>
    <m/>
    <n v="60"/>
    <m/>
    <s v="부지매입"/>
    <n v="463.7"/>
  </r>
  <r>
    <d v="2026-01-27T00:00:00"/>
    <x v="0"/>
    <n v="67"/>
    <x v="188"/>
    <x v="2"/>
    <n v="31"/>
    <s v="이체"/>
    <m/>
    <m/>
    <m/>
    <m/>
    <m/>
    <m/>
    <n v="100"/>
    <m/>
    <m/>
    <m/>
    <m/>
    <m/>
    <s v="부지매입"/>
    <n v="100"/>
  </r>
  <r>
    <d v="2026-01-27T00:00:00"/>
    <x v="0"/>
    <s v="90*"/>
    <x v="189"/>
    <x v="1"/>
    <n v="32"/>
    <s v="이체"/>
    <n v="200"/>
    <m/>
    <m/>
    <m/>
    <m/>
    <m/>
    <m/>
    <m/>
    <m/>
    <m/>
    <m/>
    <m/>
    <m/>
    <n v="200"/>
  </r>
  <r>
    <d v="2026-01-27T00:00:00"/>
    <x v="0"/>
    <s v="61+"/>
    <x v="190"/>
    <x v="5"/>
    <n v="32"/>
    <s v="이체"/>
    <n v="92.036000000000001"/>
    <m/>
    <m/>
    <m/>
    <m/>
    <m/>
    <m/>
    <m/>
    <m/>
    <m/>
    <m/>
    <m/>
    <m/>
    <n v="92.036000000000001"/>
  </r>
  <r>
    <d v="2026-01-27T00:00:00"/>
    <x v="0"/>
    <s v="52*"/>
    <x v="121"/>
    <x v="1"/>
    <n v="21"/>
    <s v="이체"/>
    <n v="130"/>
    <m/>
    <m/>
    <m/>
    <m/>
    <m/>
    <m/>
    <m/>
    <m/>
    <m/>
    <m/>
    <m/>
    <m/>
    <n v="130"/>
  </r>
  <r>
    <d v="2026-01-27T00:00:00"/>
    <x v="0"/>
    <m/>
    <x v="191"/>
    <x v="3"/>
    <m/>
    <s v="이체"/>
    <m/>
    <m/>
    <m/>
    <m/>
    <m/>
    <m/>
    <m/>
    <m/>
    <m/>
    <m/>
    <m/>
    <n v="1500"/>
    <s v="카페수입금"/>
    <n v="1500"/>
  </r>
  <r>
    <d v="2026-01-28T00:00:00"/>
    <x v="0"/>
    <m/>
    <x v="192"/>
    <x v="3"/>
    <n v="43"/>
    <s v="이체"/>
    <m/>
    <m/>
    <m/>
    <n v="500"/>
    <m/>
    <m/>
    <m/>
    <m/>
    <m/>
    <m/>
    <m/>
    <m/>
    <s v="43구역집회헌금"/>
    <n v="500"/>
  </r>
  <r>
    <d v="2026-01-28T00:00:00"/>
    <x v="0"/>
    <n v="65"/>
    <x v="193"/>
    <x v="2"/>
    <n v="42"/>
    <s v="이체"/>
    <n v="400"/>
    <m/>
    <m/>
    <m/>
    <m/>
    <m/>
    <m/>
    <m/>
    <m/>
    <m/>
    <m/>
    <m/>
    <m/>
    <n v="400"/>
  </r>
  <r>
    <d v="2026-01-28T00:00:00"/>
    <x v="0"/>
    <s v="57*"/>
    <x v="194"/>
    <x v="1"/>
    <n v="42"/>
    <s v="이체"/>
    <n v="100"/>
    <m/>
    <m/>
    <m/>
    <m/>
    <m/>
    <m/>
    <m/>
    <m/>
    <m/>
    <n v="60"/>
    <m/>
    <m/>
    <n v="160"/>
  </r>
  <r>
    <d v="2026-01-28T00:00:00"/>
    <x v="0"/>
    <s v="2*"/>
    <x v="86"/>
    <x v="1"/>
    <n v="12"/>
    <s v="이체"/>
    <n v="40"/>
    <n v="20"/>
    <n v="10"/>
    <m/>
    <m/>
    <n v="200"/>
    <n v="2800"/>
    <n v="10"/>
    <n v="10"/>
    <m/>
    <n v="60"/>
    <m/>
    <s v="해외후원미납"/>
    <n v="3150"/>
  </r>
  <r>
    <d v="2026-01-28T00:00:00"/>
    <x v="0"/>
    <n v="2"/>
    <x v="77"/>
    <x v="2"/>
    <n v="12"/>
    <s v="이체"/>
    <n v="310"/>
    <n v="40"/>
    <n v="20"/>
    <m/>
    <m/>
    <n v="400"/>
    <m/>
    <n v="20"/>
    <n v="20"/>
    <m/>
    <n v="60"/>
    <m/>
    <s v="해외후원미납 30_x000a_승강기 미납 10"/>
    <n v="870"/>
  </r>
  <r>
    <d v="2026-01-28T00:00:00"/>
    <x v="0"/>
    <m/>
    <x v="195"/>
    <x v="3"/>
    <n v="22"/>
    <s v="이체"/>
    <m/>
    <m/>
    <m/>
    <n v="600"/>
    <m/>
    <m/>
    <m/>
    <m/>
    <m/>
    <m/>
    <m/>
    <m/>
    <s v="22구역 집회 헌금"/>
    <n v="600"/>
  </r>
  <r>
    <d v="2026-01-28T00:00:00"/>
    <x v="0"/>
    <n v="32"/>
    <x v="179"/>
    <x v="2"/>
    <n v="31"/>
    <s v="이체"/>
    <m/>
    <m/>
    <m/>
    <m/>
    <m/>
    <m/>
    <n v="100"/>
    <m/>
    <m/>
    <m/>
    <m/>
    <m/>
    <m/>
    <n v="100"/>
  </r>
  <r>
    <d v="2026-01-28T00:00:00"/>
    <x v="0"/>
    <s v="13-"/>
    <x v="1"/>
    <x v="0"/>
    <n v="42"/>
    <s v="이체"/>
    <m/>
    <m/>
    <m/>
    <m/>
    <m/>
    <m/>
    <m/>
    <m/>
    <m/>
    <m/>
    <n v="20"/>
    <m/>
    <m/>
    <n v="20"/>
  </r>
  <r>
    <d v="2026-01-28T00:00:00"/>
    <x v="0"/>
    <n v="14"/>
    <x v="17"/>
    <x v="2"/>
    <n v="21"/>
    <s v="이체"/>
    <n v="310"/>
    <n v="10"/>
    <n v="20"/>
    <m/>
    <m/>
    <m/>
    <m/>
    <n v="20"/>
    <n v="20"/>
    <n v="10"/>
    <n v="60"/>
    <m/>
    <m/>
    <n v="450"/>
  </r>
  <r>
    <d v="2026-01-29T00:00:00"/>
    <x v="0"/>
    <m/>
    <x v="196"/>
    <x v="3"/>
    <n v="12"/>
    <s v="이체"/>
    <m/>
    <m/>
    <m/>
    <n v="600"/>
    <m/>
    <m/>
    <m/>
    <m/>
    <m/>
    <m/>
    <m/>
    <m/>
    <m/>
    <n v="600"/>
  </r>
  <r>
    <d v="2026-01-29T00:00:00"/>
    <x v="0"/>
    <s v="21+"/>
    <x v="49"/>
    <x v="5"/>
    <n v="11"/>
    <s v="이체"/>
    <n v="200"/>
    <n v="2"/>
    <n v="5"/>
    <m/>
    <n v="5"/>
    <m/>
    <n v="20"/>
    <n v="5"/>
    <n v="5"/>
    <n v="5"/>
    <n v="20"/>
    <m/>
    <m/>
    <n v="267"/>
  </r>
  <r>
    <d v="2026-01-30T00:00:00"/>
    <x v="0"/>
    <s v="61*"/>
    <x v="197"/>
    <x v="1"/>
    <n v="31"/>
    <s v="이체"/>
    <n v="298"/>
    <m/>
    <m/>
    <m/>
    <m/>
    <m/>
    <m/>
    <m/>
    <m/>
    <m/>
    <m/>
    <m/>
    <m/>
    <n v="298"/>
  </r>
  <r>
    <d v="2026-01-30T00:00:00"/>
    <x v="0"/>
    <m/>
    <x v="198"/>
    <x v="3"/>
    <m/>
    <s v="이체"/>
    <m/>
    <m/>
    <n v="1540"/>
    <m/>
    <m/>
    <m/>
    <m/>
    <m/>
    <m/>
    <m/>
    <m/>
    <m/>
    <s v="교회학교집회헌금분담금"/>
    <n v="1540"/>
  </r>
  <r>
    <d v="2026-01-30T00:00:00"/>
    <x v="0"/>
    <n v="46"/>
    <x v="199"/>
    <x v="2"/>
    <n v="22"/>
    <s v="이체"/>
    <n v="298.60000000000002"/>
    <n v="40"/>
    <m/>
    <m/>
    <m/>
    <m/>
    <m/>
    <m/>
    <m/>
    <m/>
    <m/>
    <m/>
    <m/>
    <n v="338.6"/>
  </r>
  <r>
    <d v="2026-01-31T00:00:00"/>
    <x v="0"/>
    <m/>
    <x v="200"/>
    <x v="3"/>
    <m/>
    <s v="이체"/>
    <m/>
    <m/>
    <m/>
    <m/>
    <m/>
    <m/>
    <m/>
    <m/>
    <m/>
    <m/>
    <m/>
    <n v="53"/>
    <s v="고철판매 수입금"/>
    <n v="53"/>
  </r>
  <r>
    <d v="2026-01-31T00:00:00"/>
    <x v="0"/>
    <s v="19*"/>
    <x v="167"/>
    <x v="1"/>
    <n v="11"/>
    <s v="이체"/>
    <m/>
    <m/>
    <m/>
    <m/>
    <m/>
    <m/>
    <n v="100"/>
    <m/>
    <m/>
    <m/>
    <m/>
    <m/>
    <m/>
    <n v="100"/>
  </r>
  <r>
    <d v="2026-01-31T00:00:00"/>
    <x v="0"/>
    <s v="69*"/>
    <x v="14"/>
    <x v="1"/>
    <n v="11"/>
    <s v="이체"/>
    <n v="300"/>
    <m/>
    <m/>
    <m/>
    <m/>
    <m/>
    <m/>
    <m/>
    <m/>
    <m/>
    <m/>
    <m/>
    <m/>
    <n v="300"/>
  </r>
  <r>
    <d v="2026-01-31T00:00:00"/>
    <x v="0"/>
    <s v="24*"/>
    <x v="201"/>
    <x v="1"/>
    <n v="43"/>
    <s v="이체"/>
    <n v="550"/>
    <m/>
    <m/>
    <m/>
    <m/>
    <m/>
    <m/>
    <m/>
    <m/>
    <m/>
    <m/>
    <m/>
    <m/>
    <n v="550"/>
  </r>
  <r>
    <d v="2026-01-31T00:00:00"/>
    <x v="0"/>
    <s v="24+"/>
    <x v="24"/>
    <x v="5"/>
    <n v="11"/>
    <s v="이체"/>
    <n v="150"/>
    <m/>
    <m/>
    <m/>
    <m/>
    <m/>
    <m/>
    <m/>
    <m/>
    <m/>
    <m/>
    <m/>
    <m/>
    <n v="150"/>
  </r>
  <r>
    <s v="2026년 1월 헌금"/>
    <x v="1"/>
    <m/>
    <x v="202"/>
    <x v="7"/>
    <m/>
    <m/>
    <n v="31940.925999999999"/>
    <n v="1803.6"/>
    <n v="5960"/>
    <n v="5976.1190000000006"/>
    <n v="2475"/>
    <n v="1114.7660000000001"/>
    <n v="15184"/>
    <n v="681"/>
    <n v="660"/>
    <n v="230"/>
    <n v="8007"/>
    <n v="10961"/>
    <n v="0"/>
    <n v="89433.411000000007"/>
  </r>
  <r>
    <d v="2026-02-01T00:00:00"/>
    <x v="2"/>
    <n v="68"/>
    <x v="87"/>
    <x v="2"/>
    <n v="41"/>
    <m/>
    <m/>
    <n v="10"/>
    <m/>
    <m/>
    <m/>
    <m/>
    <m/>
    <m/>
    <m/>
    <m/>
    <m/>
    <m/>
    <m/>
    <n v="10"/>
  </r>
  <r>
    <d v="2026-02-01T00:00:00"/>
    <x v="2"/>
    <n v="57"/>
    <x v="19"/>
    <x v="2"/>
    <n v="41"/>
    <m/>
    <m/>
    <n v="10"/>
    <m/>
    <m/>
    <m/>
    <m/>
    <m/>
    <m/>
    <m/>
    <m/>
    <m/>
    <m/>
    <m/>
    <n v="10"/>
  </r>
  <r>
    <d v="2026-02-01T00:00:00"/>
    <x v="2"/>
    <n v="65"/>
    <x v="193"/>
    <x v="2"/>
    <n v="42"/>
    <m/>
    <m/>
    <n v="50"/>
    <m/>
    <m/>
    <m/>
    <m/>
    <m/>
    <m/>
    <m/>
    <m/>
    <m/>
    <m/>
    <m/>
    <n v="50"/>
  </r>
  <r>
    <d v="2026-02-01T00:00:00"/>
    <x v="2"/>
    <s v="22+"/>
    <x v="30"/>
    <x v="5"/>
    <n v="11"/>
    <m/>
    <m/>
    <n v="1"/>
    <m/>
    <m/>
    <m/>
    <m/>
    <m/>
    <m/>
    <m/>
    <m/>
    <m/>
    <m/>
    <m/>
    <n v="1"/>
  </r>
  <r>
    <d v="2026-02-01T00:00:00"/>
    <x v="2"/>
    <s v="9-"/>
    <x v="11"/>
    <x v="0"/>
    <n v="21"/>
    <m/>
    <m/>
    <m/>
    <m/>
    <m/>
    <n v="20"/>
    <m/>
    <m/>
    <m/>
    <m/>
    <m/>
    <m/>
    <m/>
    <m/>
    <n v="20"/>
  </r>
  <r>
    <d v="2026-02-01T00:00:00"/>
    <x v="2"/>
    <s v="25-"/>
    <x v="203"/>
    <x v="0"/>
    <n v="41"/>
    <m/>
    <n v="20"/>
    <m/>
    <m/>
    <m/>
    <m/>
    <m/>
    <m/>
    <m/>
    <m/>
    <m/>
    <m/>
    <m/>
    <m/>
    <n v="20"/>
  </r>
  <r>
    <d v="2026-02-01T00:00:00"/>
    <x v="2"/>
    <s v="22-"/>
    <x v="10"/>
    <x v="0"/>
    <n v="21"/>
    <m/>
    <n v="20"/>
    <m/>
    <m/>
    <m/>
    <m/>
    <m/>
    <m/>
    <m/>
    <m/>
    <m/>
    <n v="20"/>
    <m/>
    <s v="해외후원"/>
    <n v="40"/>
  </r>
  <r>
    <d v="2026-02-01T00:00:00"/>
    <x v="2"/>
    <s v="12-"/>
    <x v="12"/>
    <x v="0"/>
    <n v="12"/>
    <m/>
    <n v="60"/>
    <n v="10"/>
    <m/>
    <m/>
    <m/>
    <m/>
    <m/>
    <m/>
    <m/>
    <m/>
    <n v="20"/>
    <m/>
    <m/>
    <n v="90"/>
  </r>
  <r>
    <d v="2026-02-01T00:00:00"/>
    <x v="2"/>
    <s v="4-"/>
    <x v="4"/>
    <x v="0"/>
    <n v="43"/>
    <m/>
    <n v="20"/>
    <m/>
    <m/>
    <m/>
    <m/>
    <m/>
    <m/>
    <m/>
    <m/>
    <m/>
    <n v="10"/>
    <m/>
    <m/>
    <n v="30"/>
  </r>
  <r>
    <d v="2026-02-01T00:00:00"/>
    <x v="2"/>
    <s v="27-"/>
    <x v="76"/>
    <x v="0"/>
    <n v="12"/>
    <m/>
    <n v="100"/>
    <n v="50"/>
    <m/>
    <m/>
    <m/>
    <m/>
    <m/>
    <m/>
    <m/>
    <m/>
    <n v="20"/>
    <m/>
    <m/>
    <n v="170"/>
  </r>
  <r>
    <d v="2026-02-01T00:00:00"/>
    <x v="2"/>
    <s v="21-"/>
    <x v="85"/>
    <x v="0"/>
    <n v="12"/>
    <m/>
    <n v="50"/>
    <n v="10"/>
    <m/>
    <m/>
    <m/>
    <m/>
    <m/>
    <m/>
    <m/>
    <m/>
    <n v="20"/>
    <m/>
    <m/>
    <n v="80"/>
  </r>
  <r>
    <d v="2026-02-01T00:00:00"/>
    <x v="2"/>
    <s v="42-"/>
    <x v="2"/>
    <x v="0"/>
    <n v="31"/>
    <m/>
    <n v="50"/>
    <m/>
    <m/>
    <m/>
    <m/>
    <m/>
    <m/>
    <m/>
    <m/>
    <m/>
    <n v="20"/>
    <m/>
    <m/>
    <n v="70"/>
  </r>
  <r>
    <d v="2026-02-01T00:00:00"/>
    <x v="2"/>
    <s v="30-"/>
    <x v="5"/>
    <x v="0"/>
    <n v="42"/>
    <m/>
    <n v="20"/>
    <m/>
    <m/>
    <m/>
    <m/>
    <m/>
    <m/>
    <m/>
    <m/>
    <m/>
    <m/>
    <m/>
    <m/>
    <n v="20"/>
  </r>
  <r>
    <d v="2026-02-01T00:00:00"/>
    <x v="2"/>
    <s v="7-"/>
    <x v="9"/>
    <x v="0"/>
    <n v="31"/>
    <m/>
    <n v="100"/>
    <m/>
    <m/>
    <m/>
    <m/>
    <m/>
    <m/>
    <m/>
    <m/>
    <m/>
    <n v="20"/>
    <m/>
    <m/>
    <n v="120"/>
  </r>
  <r>
    <d v="2026-02-01T00:00:00"/>
    <x v="2"/>
    <s v="35-"/>
    <x v="6"/>
    <x v="0"/>
    <n v="32"/>
    <m/>
    <n v="10"/>
    <m/>
    <m/>
    <m/>
    <m/>
    <m/>
    <m/>
    <m/>
    <m/>
    <m/>
    <m/>
    <m/>
    <m/>
    <n v="10"/>
  </r>
  <r>
    <d v="2026-02-01T00:00:00"/>
    <x v="2"/>
    <s v="24-"/>
    <x v="3"/>
    <x v="0"/>
    <n v="42"/>
    <m/>
    <m/>
    <n v="10"/>
    <m/>
    <m/>
    <m/>
    <m/>
    <m/>
    <m/>
    <m/>
    <m/>
    <m/>
    <m/>
    <m/>
    <n v="10"/>
  </r>
  <r>
    <d v="2026-02-01T00:00:00"/>
    <x v="2"/>
    <s v="23-"/>
    <x v="78"/>
    <x v="0"/>
    <n v="31"/>
    <m/>
    <n v="40"/>
    <m/>
    <m/>
    <m/>
    <m/>
    <m/>
    <m/>
    <m/>
    <m/>
    <m/>
    <n v="20"/>
    <m/>
    <m/>
    <n v="60"/>
  </r>
  <r>
    <d v="2026-02-01T00:00:00"/>
    <x v="2"/>
    <s v="29-"/>
    <x v="7"/>
    <x v="0"/>
    <n v="32"/>
    <m/>
    <m/>
    <n v="5"/>
    <m/>
    <m/>
    <m/>
    <m/>
    <m/>
    <m/>
    <m/>
    <m/>
    <n v="20"/>
    <m/>
    <m/>
    <n v="25"/>
  </r>
  <r>
    <d v="2026-02-01T00:00:00"/>
    <x v="2"/>
    <s v="31-"/>
    <x v="74"/>
    <x v="0"/>
    <n v="31"/>
    <m/>
    <n v="60"/>
    <n v="40"/>
    <m/>
    <m/>
    <m/>
    <m/>
    <m/>
    <m/>
    <m/>
    <m/>
    <n v="40"/>
    <m/>
    <m/>
    <n v="140"/>
  </r>
  <r>
    <d v="2026-02-01T00:00:00"/>
    <x v="2"/>
    <s v="18-"/>
    <x v="204"/>
    <x v="0"/>
    <n v="31"/>
    <m/>
    <n v="160"/>
    <n v="10"/>
    <n v="10"/>
    <m/>
    <n v="20"/>
    <m/>
    <m/>
    <m/>
    <m/>
    <n v="10"/>
    <n v="40"/>
    <m/>
    <m/>
    <n v="250"/>
  </r>
  <r>
    <d v="2026-02-01T00:00:00"/>
    <x v="2"/>
    <s v="51*"/>
    <x v="81"/>
    <x v="1"/>
    <n v="11"/>
    <m/>
    <m/>
    <m/>
    <m/>
    <m/>
    <m/>
    <m/>
    <n v="1000"/>
    <m/>
    <m/>
    <m/>
    <m/>
    <m/>
    <s v="부지매입"/>
    <n v="1000"/>
  </r>
  <r>
    <d v="2026-02-01T00:00:00"/>
    <x v="2"/>
    <s v="57*"/>
    <x v="194"/>
    <x v="1"/>
    <n v="42"/>
    <m/>
    <m/>
    <n v="50"/>
    <m/>
    <m/>
    <m/>
    <m/>
    <m/>
    <m/>
    <m/>
    <m/>
    <m/>
    <m/>
    <m/>
    <n v="50"/>
  </r>
  <r>
    <d v="2026-02-01T00:00:00"/>
    <x v="2"/>
    <s v="11*"/>
    <x v="205"/>
    <x v="1"/>
    <n v="12"/>
    <m/>
    <m/>
    <m/>
    <n v="20"/>
    <m/>
    <m/>
    <m/>
    <m/>
    <n v="20"/>
    <m/>
    <m/>
    <n v="60"/>
    <m/>
    <m/>
    <n v="100"/>
  </r>
  <r>
    <d v="2026-02-01T00:00:00"/>
    <x v="2"/>
    <s v="1*"/>
    <x v="15"/>
    <x v="1"/>
    <n v="11"/>
    <m/>
    <m/>
    <n v="10"/>
    <m/>
    <m/>
    <m/>
    <m/>
    <m/>
    <m/>
    <m/>
    <m/>
    <m/>
    <m/>
    <m/>
    <n v="10"/>
  </r>
  <r>
    <d v="2026-02-01T00:00:00"/>
    <x v="2"/>
    <s v="16*"/>
    <x v="206"/>
    <x v="1"/>
    <n v="11"/>
    <m/>
    <n v="10"/>
    <m/>
    <m/>
    <m/>
    <m/>
    <m/>
    <m/>
    <m/>
    <m/>
    <m/>
    <n v="20"/>
    <m/>
    <m/>
    <n v="30"/>
  </r>
  <r>
    <d v="2026-02-01T00:00:00"/>
    <x v="2"/>
    <s v="62*"/>
    <x v="207"/>
    <x v="1"/>
    <n v="31"/>
    <m/>
    <n v="100"/>
    <n v="80"/>
    <n v="20"/>
    <m/>
    <n v="20"/>
    <m/>
    <m/>
    <n v="20"/>
    <n v="20"/>
    <n v="20"/>
    <n v="120"/>
    <m/>
    <m/>
    <n v="400"/>
  </r>
  <r>
    <d v="2026-02-01T00:00:00"/>
    <x v="2"/>
    <n v="40"/>
    <x v="208"/>
    <x v="2"/>
    <n v="32"/>
    <m/>
    <n v="150"/>
    <m/>
    <m/>
    <m/>
    <m/>
    <n v="100"/>
    <n v="300"/>
    <m/>
    <m/>
    <m/>
    <n v="60"/>
    <m/>
    <s v="부지매입,승강기"/>
    <n v="610"/>
  </r>
  <r>
    <d v="2026-02-01T00:00:00"/>
    <x v="2"/>
    <n v="24"/>
    <x v="145"/>
    <x v="2"/>
    <n v="12"/>
    <m/>
    <n v="80"/>
    <n v="20"/>
    <n v="10"/>
    <m/>
    <m/>
    <m/>
    <m/>
    <n v="5"/>
    <n v="5"/>
    <n v="5"/>
    <n v="40"/>
    <m/>
    <m/>
    <n v="165"/>
  </r>
  <r>
    <d v="2026-02-01T00:00:00"/>
    <x v="2"/>
    <s v="37-"/>
    <x v="209"/>
    <x v="0"/>
    <n v="21"/>
    <m/>
    <m/>
    <n v="40"/>
    <m/>
    <m/>
    <m/>
    <m/>
    <m/>
    <m/>
    <n v="20"/>
    <m/>
    <m/>
    <m/>
    <m/>
    <n v="60"/>
  </r>
  <r>
    <d v="2026-02-01T00:00:00"/>
    <x v="2"/>
    <s v="66*"/>
    <x v="100"/>
    <x v="1"/>
    <n v="12"/>
    <m/>
    <n v="20"/>
    <n v="12"/>
    <n v="10"/>
    <m/>
    <m/>
    <m/>
    <m/>
    <n v="5"/>
    <n v="5"/>
    <n v="5"/>
    <n v="40"/>
    <m/>
    <m/>
    <n v="97"/>
  </r>
  <r>
    <d v="2026-02-01T00:00:00"/>
    <x v="2"/>
    <n v="18"/>
    <x v="210"/>
    <x v="2"/>
    <n v="22"/>
    <m/>
    <m/>
    <m/>
    <m/>
    <m/>
    <m/>
    <m/>
    <m/>
    <m/>
    <m/>
    <m/>
    <n v="40"/>
    <m/>
    <m/>
    <n v="40"/>
  </r>
  <r>
    <d v="2026-02-01T00:00:00"/>
    <x v="2"/>
    <n v="75"/>
    <x v="37"/>
    <x v="2"/>
    <n v="42"/>
    <m/>
    <m/>
    <m/>
    <m/>
    <m/>
    <m/>
    <m/>
    <m/>
    <m/>
    <m/>
    <m/>
    <n v="20"/>
    <m/>
    <m/>
    <n v="20"/>
  </r>
  <r>
    <d v="2026-02-01T00:00:00"/>
    <x v="2"/>
    <s v="97*"/>
    <x v="38"/>
    <x v="1"/>
    <n v="42"/>
    <m/>
    <m/>
    <m/>
    <m/>
    <m/>
    <m/>
    <m/>
    <m/>
    <m/>
    <m/>
    <m/>
    <n v="20"/>
    <m/>
    <m/>
    <n v="20"/>
  </r>
  <r>
    <d v="2026-02-01T00:00:00"/>
    <x v="2"/>
    <m/>
    <x v="211"/>
    <x v="3"/>
    <m/>
    <m/>
    <n v="100"/>
    <m/>
    <m/>
    <m/>
    <m/>
    <m/>
    <m/>
    <m/>
    <m/>
    <m/>
    <m/>
    <m/>
    <m/>
    <n v="100"/>
  </r>
  <r>
    <d v="2026-02-01T00:00:00"/>
    <x v="2"/>
    <m/>
    <x v="124"/>
    <x v="3"/>
    <m/>
    <m/>
    <m/>
    <n v="7"/>
    <m/>
    <m/>
    <m/>
    <m/>
    <m/>
    <m/>
    <m/>
    <m/>
    <m/>
    <m/>
    <m/>
    <n v="7"/>
  </r>
  <r>
    <d v="2026-02-01T00:00:00"/>
    <x v="2"/>
    <m/>
    <x v="21"/>
    <x v="3"/>
    <m/>
    <m/>
    <m/>
    <n v="20"/>
    <m/>
    <m/>
    <m/>
    <m/>
    <m/>
    <m/>
    <m/>
    <m/>
    <m/>
    <m/>
    <m/>
    <n v="20"/>
  </r>
  <r>
    <d v="2026-02-01T00:00:00"/>
    <x v="2"/>
    <m/>
    <x v="212"/>
    <x v="3"/>
    <m/>
    <m/>
    <m/>
    <n v="50"/>
    <m/>
    <m/>
    <m/>
    <m/>
    <m/>
    <m/>
    <m/>
    <m/>
    <m/>
    <m/>
    <m/>
    <n v="50"/>
  </r>
  <r>
    <d v="2026-02-01T00:00:00"/>
    <x v="2"/>
    <n v="77"/>
    <x v="40"/>
    <x v="2"/>
    <n v="32"/>
    <s v="이체"/>
    <n v="200"/>
    <m/>
    <m/>
    <m/>
    <m/>
    <m/>
    <m/>
    <m/>
    <m/>
    <m/>
    <m/>
    <m/>
    <m/>
    <n v="200"/>
  </r>
  <r>
    <d v="2026-02-01T00:00:00"/>
    <x v="2"/>
    <s v="40+"/>
    <x v="95"/>
    <x v="5"/>
    <n v="43"/>
    <s v="이체"/>
    <m/>
    <n v="5"/>
    <m/>
    <m/>
    <m/>
    <m/>
    <m/>
    <m/>
    <m/>
    <m/>
    <m/>
    <m/>
    <m/>
    <n v="5"/>
  </r>
  <r>
    <d v="2026-02-01T00:00:00"/>
    <x v="2"/>
    <n v="6"/>
    <x v="41"/>
    <x v="2"/>
    <n v="41"/>
    <s v="이체"/>
    <m/>
    <n v="3"/>
    <m/>
    <m/>
    <m/>
    <m/>
    <m/>
    <m/>
    <m/>
    <m/>
    <m/>
    <m/>
    <m/>
    <n v="3"/>
  </r>
  <r>
    <d v="2026-02-01T00:00:00"/>
    <x v="2"/>
    <n v="75"/>
    <x v="37"/>
    <x v="2"/>
    <n v="42"/>
    <s v="이체"/>
    <n v="300"/>
    <m/>
    <m/>
    <m/>
    <m/>
    <m/>
    <m/>
    <m/>
    <m/>
    <m/>
    <m/>
    <m/>
    <m/>
    <n v="300"/>
  </r>
  <r>
    <d v="2026-02-01T00:00:00"/>
    <x v="2"/>
    <s v="97*"/>
    <x v="38"/>
    <x v="1"/>
    <n v="42"/>
    <s v="이체"/>
    <n v="100"/>
    <m/>
    <m/>
    <m/>
    <m/>
    <m/>
    <m/>
    <m/>
    <m/>
    <m/>
    <m/>
    <m/>
    <m/>
    <n v="100"/>
  </r>
  <r>
    <d v="2026-02-01T00:00:00"/>
    <x v="2"/>
    <s v="29*"/>
    <x v="25"/>
    <x v="1"/>
    <n v="32"/>
    <s v="이체"/>
    <m/>
    <n v="20"/>
    <m/>
    <m/>
    <m/>
    <m/>
    <m/>
    <m/>
    <m/>
    <m/>
    <m/>
    <m/>
    <m/>
    <n v="20"/>
  </r>
  <r>
    <d v="2026-02-01T00:00:00"/>
    <x v="2"/>
    <s v="34+"/>
    <x v="44"/>
    <x v="5"/>
    <n v="43"/>
    <s v="이체"/>
    <n v="300"/>
    <n v="3"/>
    <m/>
    <m/>
    <m/>
    <m/>
    <m/>
    <m/>
    <m/>
    <m/>
    <m/>
    <m/>
    <m/>
    <n v="303"/>
  </r>
  <r>
    <d v="2026-02-01T00:00:00"/>
    <x v="2"/>
    <s v="44+"/>
    <x v="80"/>
    <x v="5"/>
    <n v="21"/>
    <s v="이체"/>
    <m/>
    <n v="2"/>
    <m/>
    <m/>
    <m/>
    <m/>
    <m/>
    <m/>
    <m/>
    <m/>
    <m/>
    <m/>
    <m/>
    <n v="2"/>
  </r>
  <r>
    <d v="2026-02-01T00:00:00"/>
    <x v="2"/>
    <m/>
    <x v="91"/>
    <x v="3"/>
    <m/>
    <s v="이체"/>
    <m/>
    <n v="4.5999999999999996"/>
    <m/>
    <m/>
    <m/>
    <m/>
    <m/>
    <m/>
    <m/>
    <m/>
    <m/>
    <m/>
    <m/>
    <n v="4.5999999999999996"/>
  </r>
  <r>
    <d v="2026-02-01T00:00:00"/>
    <x v="2"/>
    <s v="22+"/>
    <x v="30"/>
    <x v="5"/>
    <n v="11"/>
    <s v="이체"/>
    <m/>
    <m/>
    <m/>
    <m/>
    <m/>
    <m/>
    <m/>
    <m/>
    <m/>
    <m/>
    <n v="20"/>
    <m/>
    <m/>
    <n v="20"/>
  </r>
  <r>
    <d v="2026-02-01T00:00:00"/>
    <x v="2"/>
    <s v="38+"/>
    <x v="213"/>
    <x v="5"/>
    <n v="41"/>
    <s v="이체"/>
    <m/>
    <m/>
    <m/>
    <m/>
    <m/>
    <m/>
    <m/>
    <m/>
    <m/>
    <m/>
    <n v="20"/>
    <m/>
    <m/>
    <n v="20"/>
  </r>
  <r>
    <d v="2026-02-01T00:00:00"/>
    <x v="2"/>
    <s v="9+"/>
    <x v="214"/>
    <x v="5"/>
    <n v="12"/>
    <s v="이체"/>
    <m/>
    <m/>
    <m/>
    <m/>
    <m/>
    <m/>
    <m/>
    <m/>
    <m/>
    <m/>
    <n v="60"/>
    <m/>
    <m/>
    <n v="60"/>
  </r>
  <r>
    <d v="2026-02-01T00:00:00"/>
    <x v="2"/>
    <m/>
    <x v="215"/>
    <x v="8"/>
    <m/>
    <s v="이체"/>
    <m/>
    <m/>
    <m/>
    <m/>
    <m/>
    <m/>
    <m/>
    <m/>
    <m/>
    <m/>
    <n v="5"/>
    <m/>
    <m/>
    <n v="5"/>
  </r>
  <r>
    <d v="2026-02-01T00:00:00"/>
    <x v="2"/>
    <m/>
    <x v="216"/>
    <x v="8"/>
    <m/>
    <s v="이체"/>
    <m/>
    <m/>
    <m/>
    <m/>
    <m/>
    <m/>
    <m/>
    <m/>
    <m/>
    <m/>
    <n v="5"/>
    <m/>
    <m/>
    <n v="5"/>
  </r>
  <r>
    <d v="2026-02-01T00:00:00"/>
    <x v="2"/>
    <s v="73*"/>
    <x v="144"/>
    <x v="1"/>
    <n v="22"/>
    <s v="이체"/>
    <m/>
    <m/>
    <m/>
    <m/>
    <m/>
    <m/>
    <m/>
    <m/>
    <m/>
    <m/>
    <n v="40"/>
    <m/>
    <m/>
    <n v="40"/>
  </r>
  <r>
    <d v="2026-02-01T00:00:00"/>
    <x v="2"/>
    <s v="74*"/>
    <x v="217"/>
    <x v="1"/>
    <n v="43"/>
    <s v="이체"/>
    <m/>
    <m/>
    <m/>
    <m/>
    <m/>
    <m/>
    <m/>
    <m/>
    <m/>
    <m/>
    <n v="60"/>
    <m/>
    <m/>
    <n v="60"/>
  </r>
  <r>
    <d v="2026-02-01T00:00:00"/>
    <x v="2"/>
    <m/>
    <x v="218"/>
    <x v="8"/>
    <m/>
    <s v="이체"/>
    <m/>
    <m/>
    <m/>
    <m/>
    <m/>
    <m/>
    <m/>
    <m/>
    <m/>
    <m/>
    <n v="5"/>
    <m/>
    <m/>
    <n v="5"/>
  </r>
  <r>
    <d v="2026-02-02T00:00:00"/>
    <x v="2"/>
    <s v="13+"/>
    <x v="51"/>
    <x v="5"/>
    <n v="31"/>
    <s v="이체"/>
    <m/>
    <n v="10"/>
    <m/>
    <m/>
    <m/>
    <m/>
    <m/>
    <m/>
    <m/>
    <m/>
    <m/>
    <m/>
    <m/>
    <n v="10"/>
  </r>
  <r>
    <d v="2026-02-02T00:00:00"/>
    <x v="2"/>
    <s v="59+"/>
    <x v="28"/>
    <x v="5"/>
    <n v="42"/>
    <s v="이체"/>
    <m/>
    <m/>
    <m/>
    <m/>
    <m/>
    <m/>
    <n v="150"/>
    <m/>
    <m/>
    <m/>
    <m/>
    <m/>
    <s v="부지매입"/>
    <n v="150"/>
  </r>
  <r>
    <d v="2026-02-02T00:00:00"/>
    <x v="2"/>
    <n v="77"/>
    <x v="40"/>
    <x v="2"/>
    <n v="32"/>
    <s v="이체"/>
    <m/>
    <m/>
    <m/>
    <m/>
    <m/>
    <n v="100"/>
    <m/>
    <m/>
    <m/>
    <m/>
    <n v="20"/>
    <m/>
    <s v="승강기"/>
    <n v="120"/>
  </r>
  <r>
    <d v="2026-02-03T00:00:00"/>
    <x v="2"/>
    <s v="55*"/>
    <x v="42"/>
    <x v="1"/>
    <n v="12"/>
    <s v="이체"/>
    <n v="100"/>
    <m/>
    <m/>
    <m/>
    <m/>
    <m/>
    <m/>
    <m/>
    <m/>
    <m/>
    <m/>
    <m/>
    <m/>
    <n v="100"/>
  </r>
  <r>
    <d v="2026-02-03T00:00:00"/>
    <x v="2"/>
    <n v="51"/>
    <x v="219"/>
    <x v="2"/>
    <n v="31"/>
    <s v="이체"/>
    <n v="600"/>
    <m/>
    <m/>
    <m/>
    <m/>
    <m/>
    <n v="200"/>
    <m/>
    <m/>
    <m/>
    <n v="320"/>
    <m/>
    <s v="부지매입"/>
    <n v="1120"/>
  </r>
  <r>
    <d v="2026-02-03T00:00:00"/>
    <x v="2"/>
    <s v="15*"/>
    <x v="220"/>
    <x v="1"/>
    <n v="31"/>
    <s v="이체"/>
    <n v="200"/>
    <n v="20"/>
    <n v="60"/>
    <m/>
    <m/>
    <m/>
    <m/>
    <m/>
    <m/>
    <n v="20"/>
    <n v="220"/>
    <m/>
    <m/>
    <n v="520"/>
  </r>
  <r>
    <d v="2026-02-03T00:00:00"/>
    <x v="2"/>
    <s v="59+"/>
    <x v="28"/>
    <x v="5"/>
    <n v="42"/>
    <s v="이체"/>
    <m/>
    <m/>
    <m/>
    <m/>
    <m/>
    <m/>
    <n v="500"/>
    <m/>
    <m/>
    <m/>
    <n v="120"/>
    <m/>
    <s v="부지매입"/>
    <n v="620"/>
  </r>
  <r>
    <d v="2026-02-04T00:00:00"/>
    <x v="2"/>
    <n v="60"/>
    <x v="35"/>
    <x v="2"/>
    <n v="22"/>
    <s v="이체"/>
    <n v="1250"/>
    <m/>
    <m/>
    <m/>
    <m/>
    <m/>
    <m/>
    <m/>
    <m/>
    <m/>
    <m/>
    <m/>
    <m/>
    <n v="1250"/>
  </r>
  <r>
    <d v="2026-02-04T00:00:00"/>
    <x v="2"/>
    <n v="26"/>
    <x v="221"/>
    <x v="2"/>
    <n v="42"/>
    <s v="이체"/>
    <n v="200"/>
    <m/>
    <m/>
    <m/>
    <m/>
    <m/>
    <m/>
    <m/>
    <m/>
    <m/>
    <n v="60"/>
    <m/>
    <m/>
    <n v="260"/>
  </r>
  <r>
    <d v="2026-02-04T00:00:00"/>
    <x v="2"/>
    <s v="8+"/>
    <x v="48"/>
    <x v="5"/>
    <n v="11"/>
    <s v="이체"/>
    <n v="92.5"/>
    <m/>
    <m/>
    <m/>
    <m/>
    <m/>
    <m/>
    <m/>
    <m/>
    <m/>
    <n v="40"/>
    <m/>
    <m/>
    <n v="132.5"/>
  </r>
  <r>
    <d v="2026-02-04T00:00:00"/>
    <x v="2"/>
    <s v="55*"/>
    <x v="42"/>
    <x v="1"/>
    <n v="12"/>
    <s v="이체"/>
    <m/>
    <m/>
    <m/>
    <m/>
    <m/>
    <m/>
    <n v="200"/>
    <m/>
    <m/>
    <m/>
    <n v="60"/>
    <m/>
    <s v="부지매입"/>
    <n v="260"/>
  </r>
  <r>
    <d v="2026-02-05T00:00:00"/>
    <x v="2"/>
    <n v="27"/>
    <x v="26"/>
    <x v="2"/>
    <n v="43"/>
    <s v="이체"/>
    <n v="510"/>
    <n v="40"/>
    <n v="40"/>
    <m/>
    <m/>
    <m/>
    <n v="700"/>
    <m/>
    <m/>
    <n v="20"/>
    <n v="120"/>
    <m/>
    <s v="부지매입"/>
    <n v="1430"/>
  </r>
  <r>
    <d v="2026-02-05T00:00:00"/>
    <x v="2"/>
    <m/>
    <x v="222"/>
    <x v="3"/>
    <m/>
    <s v="이체"/>
    <m/>
    <m/>
    <m/>
    <m/>
    <m/>
    <m/>
    <m/>
    <m/>
    <m/>
    <m/>
    <m/>
    <n v="69"/>
    <s v="고철판매수입"/>
    <n v="69"/>
  </r>
  <r>
    <d v="2026-02-05T00:00:00"/>
    <x v="2"/>
    <s v="9*"/>
    <x v="187"/>
    <x v="1"/>
    <n v="42"/>
    <s v="이체"/>
    <m/>
    <m/>
    <m/>
    <m/>
    <m/>
    <m/>
    <m/>
    <m/>
    <m/>
    <m/>
    <n v="60"/>
    <m/>
    <m/>
    <n v="60"/>
  </r>
  <r>
    <d v="2026-02-05T00:00:00"/>
    <x v="2"/>
    <n v="20"/>
    <x v="223"/>
    <x v="2"/>
    <n v="42"/>
    <s v="이체"/>
    <m/>
    <m/>
    <m/>
    <m/>
    <m/>
    <m/>
    <m/>
    <m/>
    <m/>
    <m/>
    <n v="40"/>
    <m/>
    <m/>
    <n v="40"/>
  </r>
  <r>
    <d v="2026-02-06T00:00:00"/>
    <x v="2"/>
    <s v="14-"/>
    <x v="59"/>
    <x v="0"/>
    <n v="41"/>
    <s v="이체"/>
    <n v="130"/>
    <m/>
    <m/>
    <m/>
    <m/>
    <m/>
    <m/>
    <m/>
    <m/>
    <m/>
    <n v="40"/>
    <m/>
    <m/>
    <n v="170"/>
  </r>
  <r>
    <d v="2026-02-06T00:00:00"/>
    <x v="2"/>
    <s v="8*"/>
    <x v="60"/>
    <x v="1"/>
    <n v="41"/>
    <s v="이체"/>
    <n v="75"/>
    <m/>
    <m/>
    <m/>
    <m/>
    <m/>
    <m/>
    <m/>
    <m/>
    <m/>
    <n v="60"/>
    <m/>
    <m/>
    <n v="135"/>
  </r>
  <r>
    <d v="2026-02-06T00:00:00"/>
    <x v="2"/>
    <s v="74*"/>
    <x v="217"/>
    <x v="1"/>
    <n v="43"/>
    <s v="이체"/>
    <n v="830"/>
    <m/>
    <m/>
    <m/>
    <m/>
    <m/>
    <m/>
    <m/>
    <m/>
    <m/>
    <m/>
    <m/>
    <m/>
    <n v="830"/>
  </r>
  <r>
    <d v="2026-02-06T00:00:00"/>
    <x v="2"/>
    <m/>
    <x v="224"/>
    <x v="3"/>
    <m/>
    <s v="이체"/>
    <m/>
    <m/>
    <n v="600"/>
    <m/>
    <m/>
    <m/>
    <m/>
    <m/>
    <m/>
    <m/>
    <m/>
    <m/>
    <m/>
    <n v="600"/>
  </r>
  <r>
    <d v="2026-02-06T00:00:00"/>
    <x v="2"/>
    <s v="11*"/>
    <x v="205"/>
    <x v="1"/>
    <n v="12"/>
    <s v="이체"/>
    <m/>
    <m/>
    <m/>
    <m/>
    <m/>
    <m/>
    <n v="4600"/>
    <m/>
    <m/>
    <m/>
    <m/>
    <m/>
    <s v="부지매입"/>
    <n v="4600"/>
  </r>
  <r>
    <d v="2026-02-07T00:00:00"/>
    <x v="2"/>
    <n v="48"/>
    <x v="225"/>
    <x v="2"/>
    <n v="11"/>
    <s v="이체"/>
    <n v="750"/>
    <m/>
    <m/>
    <m/>
    <m/>
    <m/>
    <m/>
    <m/>
    <m/>
    <m/>
    <n v="120"/>
    <m/>
    <m/>
    <n v="870"/>
  </r>
  <r>
    <d v="2026-02-07T00:00:00"/>
    <x v="2"/>
    <m/>
    <x v="226"/>
    <x v="3"/>
    <m/>
    <s v="이체"/>
    <m/>
    <m/>
    <m/>
    <m/>
    <m/>
    <m/>
    <m/>
    <m/>
    <m/>
    <m/>
    <m/>
    <n v="2657.5"/>
    <s v="김동순사모님선교항공권환불"/>
    <n v="2657.5"/>
  </r>
  <r>
    <d v="2026-02-07T00:00:00"/>
    <x v="2"/>
    <s v="29*"/>
    <x v="25"/>
    <x v="1"/>
    <n v="32"/>
    <s v="이체"/>
    <n v="200"/>
    <m/>
    <m/>
    <m/>
    <m/>
    <m/>
    <m/>
    <m/>
    <m/>
    <m/>
    <m/>
    <m/>
    <m/>
    <n v="200"/>
  </r>
  <r>
    <m/>
    <x v="1"/>
    <m/>
    <x v="202"/>
    <x v="3"/>
    <m/>
    <m/>
    <m/>
    <m/>
    <m/>
    <m/>
    <m/>
    <m/>
    <m/>
    <m/>
    <m/>
    <m/>
    <m/>
    <m/>
    <s v="-"/>
    <m/>
  </r>
  <r>
    <s v="2026년 2월 헌금"/>
    <x v="1"/>
    <m/>
    <x v="202"/>
    <x v="7"/>
    <m/>
    <m/>
    <n v="7007.5"/>
    <n v="602.6"/>
    <n v="770"/>
    <n v="0"/>
    <n v="60"/>
    <n v="200"/>
    <n v="7650"/>
    <n v="50"/>
    <n v="50"/>
    <n v="80"/>
    <n v="2165"/>
    <n v="2726.5"/>
    <n v="0"/>
    <n v="21361.599999999999"/>
  </r>
  <r>
    <m/>
    <x v="1"/>
    <m/>
    <x v="202"/>
    <x v="3"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피벗 테이블1" cacheId="0" applyNumberFormats="0" applyBorderFormats="0" applyFontFormats="0" applyPatternFormats="0" applyAlignmentFormats="0" applyWidthHeightFormats="1" dataCaption="데이터" updatedVersion="8" minRefreshableVersion="3" showMemberPropertyTips="0" useAutoFormatting="1" itemPrintTitles="1" createdVersion="8" indent="0" compact="0" compactData="0" gridDropZones="1">
  <location ref="A3:I10" firstHeaderRow="1" firstDataRow="2" firstDataCol="1" rowPageCount="1" colPageCount="1"/>
  <pivotFields count="21">
    <pivotField compact="0" outline="0" subtotalTop="0" showAll="0" includeNewItemsInFilter="1" defaultSubtotal="0"/>
    <pivotField axis="axisPage" compact="0" outline="0" subtotalTop="0" multipleItemSelectionAllowed="1" showAll="0" includeNewItemsInFilter="1">
      <items count="14">
        <item h="1" x="0"/>
        <item h="1" x="1"/>
        <item x="2"/>
        <item h="1" m="1" x="6"/>
        <item h="1" m="1" x="11"/>
        <item h="1" m="1" x="3"/>
        <item h="1" m="1" x="4"/>
        <item h="1" m="1" x="5"/>
        <item h="1" m="1" x="7"/>
        <item h="1" m="1" x="8"/>
        <item h="1" m="1" x="9"/>
        <item h="1" m="1" x="10"/>
        <item m="1" x="12"/>
        <item t="default"/>
      </items>
    </pivotField>
    <pivotField compact="0" outline="0" subtotalTop="0" showAll="0" includeNewItemsInFilter="1"/>
    <pivotField compact="0" outline="0" subtotalTop="0" showAll="0" includeNewItemsInFilter="1">
      <items count="431">
        <item x="202"/>
        <item x="44"/>
        <item x="205"/>
        <item x="21"/>
        <item x="167"/>
        <item x="101"/>
        <item m="1" x="268"/>
        <item m="1" x="363"/>
        <item x="40"/>
        <item m="1" x="352"/>
        <item m="1" x="313"/>
        <item m="1" x="393"/>
        <item m="1" x="325"/>
        <item m="1" x="319"/>
        <item m="1" x="323"/>
        <item x="8"/>
        <item x="81"/>
        <item x="82"/>
        <item m="1" x="286"/>
        <item x="83"/>
        <item x="166"/>
        <item x="1"/>
        <item x="165"/>
        <item x="17"/>
        <item x="12"/>
        <item x="4"/>
        <item x="20"/>
        <item x="80"/>
        <item x="187"/>
        <item m="1" x="236"/>
        <item x="7"/>
        <item x="19"/>
        <item x="87"/>
        <item x="18"/>
        <item x="151"/>
        <item m="1" x="318"/>
        <item x="5"/>
        <item x="15"/>
        <item x="2"/>
        <item x="78"/>
        <item x="138"/>
        <item x="10"/>
        <item x="9"/>
        <item x="91"/>
        <item x="35"/>
        <item x="41"/>
        <item x="42"/>
        <item x="25"/>
        <item x="23"/>
        <item x="34"/>
        <item x="128"/>
        <item m="1" x="280"/>
        <item x="38"/>
        <item x="51"/>
        <item x="96"/>
        <item x="97"/>
        <item x="144"/>
        <item m="1" x="324"/>
        <item x="89"/>
        <item x="49"/>
        <item x="28"/>
        <item m="1" x="272"/>
        <item m="1" x="250"/>
        <item x="159"/>
        <item m="1" x="371"/>
        <item m="1" x="394"/>
        <item m="1" x="333"/>
        <item x="99"/>
        <item x="58"/>
        <item x="36"/>
        <item x="57"/>
        <item x="27"/>
        <item x="68"/>
        <item x="63"/>
        <item x="66"/>
        <item x="64"/>
        <item x="140"/>
        <item x="131"/>
        <item x="71"/>
        <item m="1" x="290"/>
        <item x="43"/>
        <item x="37"/>
        <item x="161"/>
        <item x="11"/>
        <item x="74"/>
        <item x="118"/>
        <item m="1" x="341"/>
        <item m="1" x="270"/>
        <item x="113"/>
        <item x="119"/>
        <item x="214"/>
        <item m="1" x="288"/>
        <item x="174"/>
        <item x="102"/>
        <item x="50"/>
        <item m="1" x="239"/>
        <item x="62"/>
        <item x="70"/>
        <item x="67"/>
        <item x="93"/>
        <item m="1" x="406"/>
        <item m="1" x="359"/>
        <item x="103"/>
        <item x="32"/>
        <item m="1" x="355"/>
        <item x="60"/>
        <item x="59"/>
        <item x="186"/>
        <item x="126"/>
        <item x="127"/>
        <item x="162"/>
        <item x="135"/>
        <item x="183"/>
        <item x="193"/>
        <item x="194"/>
        <item x="133"/>
        <item x="73"/>
        <item x="225"/>
        <item m="1" x="306"/>
        <item x="132"/>
        <item x="114"/>
        <item x="173"/>
        <item x="13"/>
        <item x="111"/>
        <item x="117"/>
        <item m="1" x="386"/>
        <item m="1" x="273"/>
        <item x="124"/>
        <item m="1" x="298"/>
        <item x="94"/>
        <item x="110"/>
        <item x="100"/>
        <item m="1" x="398"/>
        <item x="45"/>
        <item x="143"/>
        <item x="220"/>
        <item x="219"/>
        <item x="48"/>
        <item x="145"/>
        <item m="1" x="317"/>
        <item x="197"/>
        <item x="188"/>
        <item x="150"/>
        <item x="179"/>
        <item x="177"/>
        <item x="175"/>
        <item x="176"/>
        <item m="1" x="353"/>
        <item x="189"/>
        <item x="26"/>
        <item x="182"/>
        <item x="146"/>
        <item x="156"/>
        <item m="1" x="233"/>
        <item m="1" x="423"/>
        <item x="129"/>
        <item x="76"/>
        <item x="223"/>
        <item x="112"/>
        <item x="207"/>
        <item x="75"/>
        <item x="120"/>
        <item x="209"/>
        <item x="0"/>
        <item x="107"/>
        <item x="116"/>
        <item x="152"/>
        <item x="153"/>
        <item x="201"/>
        <item x="157"/>
        <item x="105"/>
        <item x="106"/>
        <item x="47"/>
        <item x="185"/>
        <item x="14"/>
        <item x="217"/>
        <item m="1" x="409"/>
        <item x="98"/>
        <item x="199"/>
        <item x="65"/>
        <item m="1" x="295"/>
        <item x="121"/>
        <item m="1" x="274"/>
        <item x="3"/>
        <item m="1" x="340"/>
        <item m="1" x="277"/>
        <item m="1" x="266"/>
        <item x="24"/>
        <item x="125"/>
        <item x="90"/>
        <item m="1" x="248"/>
        <item x="22"/>
        <item m="1" x="414"/>
        <item m="1" x="378"/>
        <item x="108"/>
        <item x="136"/>
        <item x="139"/>
        <item m="1" x="411"/>
        <item m="1" x="300"/>
        <item m="1" x="405"/>
        <item x="198"/>
        <item m="1" x="410"/>
        <item m="1" x="237"/>
        <item m="1" x="242"/>
        <item m="1" x="253"/>
        <item m="1" x="262"/>
        <item x="154"/>
        <item x="196"/>
        <item x="195"/>
        <item x="178"/>
        <item x="184"/>
        <item m="1" x="368"/>
        <item x="29"/>
        <item x="192"/>
        <item m="1" x="366"/>
        <item x="148"/>
        <item x="79"/>
        <item m="1" x="339"/>
        <item x="180"/>
        <item m="1" x="315"/>
        <item m="1" x="245"/>
        <item x="77"/>
        <item x="86"/>
        <item m="1" x="412"/>
        <item m="1" x="390"/>
        <item m="1" x="350"/>
        <item x="104"/>
        <item m="1" x="229"/>
        <item x="221"/>
        <item x="164"/>
        <item x="204"/>
        <item m="1" x="249"/>
        <item m="1" x="247"/>
        <item x="123"/>
        <item m="1" x="345"/>
        <item x="61"/>
        <item m="1" x="425"/>
        <item m="1" x="228"/>
        <item m="1" x="389"/>
        <item m="1" x="400"/>
        <item m="1" x="376"/>
        <item x="109"/>
        <item m="1" x="418"/>
        <item x="190"/>
        <item x="149"/>
        <item m="1" x="296"/>
        <item m="1" x="348"/>
        <item m="1" x="320"/>
        <item m="1" x="404"/>
        <item m="1" x="402"/>
        <item m="1" x="336"/>
        <item m="1" x="347"/>
        <item m="1" x="243"/>
        <item x="210"/>
        <item m="1" x="269"/>
        <item m="1" x="377"/>
        <item m="1" x="301"/>
        <item x="168"/>
        <item m="1" x="422"/>
        <item m="1" x="338"/>
        <item m="1" x="289"/>
        <item m="1" x="260"/>
        <item m="1" x="374"/>
        <item m="1" x="230"/>
        <item m="1" x="263"/>
        <item m="1" x="271"/>
        <item m="1" x="329"/>
        <item m="1" x="231"/>
        <item m="1" x="429"/>
        <item m="1" x="428"/>
        <item x="224"/>
        <item m="1" x="337"/>
        <item m="1" x="292"/>
        <item m="1" x="294"/>
        <item m="1" x="240"/>
        <item m="1" x="407"/>
        <item m="1" x="287"/>
        <item m="1" x="416"/>
        <item m="1" x="346"/>
        <item m="1" x="238"/>
        <item m="1" x="275"/>
        <item m="1" x="316"/>
        <item x="134"/>
        <item m="1" x="261"/>
        <item m="1" x="308"/>
        <item m="1" x="305"/>
        <item x="203"/>
        <item m="1" x="332"/>
        <item m="1" x="304"/>
        <item m="1" x="373"/>
        <item m="1" x="344"/>
        <item m="1" x="291"/>
        <item m="1" x="349"/>
        <item m="1" x="381"/>
        <item m="1" x="369"/>
        <item m="1" x="370"/>
        <item m="1" x="391"/>
        <item m="1" x="401"/>
        <item m="1" x="307"/>
        <item x="95"/>
        <item m="1" x="293"/>
        <item m="1" x="265"/>
        <item m="1" x="312"/>
        <item m="1" x="311"/>
        <item m="1" x="387"/>
        <item x="163"/>
        <item m="1" x="382"/>
        <item m="1" x="380"/>
        <item x="46"/>
        <item m="1" x="417"/>
        <item x="172"/>
        <item m="1" x="326"/>
        <item m="1" x="361"/>
        <item m="1" x="354"/>
        <item m="1" x="258"/>
        <item m="1" x="379"/>
        <item x="155"/>
        <item m="1" x="384"/>
        <item m="1" x="299"/>
        <item m="1" x="302"/>
        <item m="1" x="388"/>
        <item m="1" x="279"/>
        <item x="137"/>
        <item m="1" x="367"/>
        <item m="1" x="314"/>
        <item m="1" x="358"/>
        <item m="1" x="335"/>
        <item x="30"/>
        <item m="1" x="360"/>
        <item m="1" x="331"/>
        <item m="1" x="403"/>
        <item m="1" x="297"/>
        <item m="1" x="328"/>
        <item m="1" x="364"/>
        <item m="1" x="357"/>
        <item m="1" x="227"/>
        <item m="1" x="385"/>
        <item m="1" x="310"/>
        <item m="1" x="343"/>
        <item m="1" x="321"/>
        <item m="1" x="252"/>
        <item m="1" x="397"/>
        <item m="1" x="241"/>
        <item m="1" x="392"/>
        <item m="1" x="285"/>
        <item m="1" x="276"/>
        <item m="1" x="421"/>
        <item m="1" x="383"/>
        <item m="1" x="255"/>
        <item m="1" x="251"/>
        <item m="1" x="267"/>
        <item m="1" x="356"/>
        <item m="1" x="303"/>
        <item m="1" x="372"/>
        <item m="1" x="284"/>
        <item m="1" x="427"/>
        <item m="1" x="408"/>
        <item m="1" x="322"/>
        <item m="1" x="259"/>
        <item m="1" x="396"/>
        <item x="69"/>
        <item x="6"/>
        <item m="1" x="342"/>
        <item m="1" x="282"/>
        <item m="1" x="281"/>
        <item m="1" x="257"/>
        <item m="1" x="419"/>
        <item x="16"/>
        <item x="122"/>
        <item m="1" x="420"/>
        <item m="1" x="246"/>
        <item m="1" x="415"/>
        <item m="1" x="256"/>
        <item m="1" x="399"/>
        <item m="1" x="375"/>
        <item m="1" x="283"/>
        <item m="1" x="334"/>
        <item m="1" x="234"/>
        <item m="1" x="351"/>
        <item m="1" x="395"/>
        <item m="1" x="254"/>
        <item m="1" x="264"/>
        <item m="1" x="413"/>
        <item m="1" x="426"/>
        <item m="1" x="330"/>
        <item m="1" x="327"/>
        <item m="1" x="309"/>
        <item m="1" x="278"/>
        <item m="1" x="244"/>
        <item m="1" x="235"/>
        <item m="1" x="365"/>
        <item m="1" x="424"/>
        <item m="1" x="232"/>
        <item m="1" x="362"/>
        <item x="31"/>
        <item x="33"/>
        <item x="39"/>
        <item x="52"/>
        <item x="53"/>
        <item x="54"/>
        <item x="55"/>
        <item x="56"/>
        <item x="72"/>
        <item x="84"/>
        <item x="85"/>
        <item x="88"/>
        <item x="92"/>
        <item x="115"/>
        <item x="130"/>
        <item x="141"/>
        <item x="142"/>
        <item x="147"/>
        <item x="158"/>
        <item x="160"/>
        <item x="169"/>
        <item x="170"/>
        <item x="171"/>
        <item x="181"/>
        <item x="191"/>
        <item x="200"/>
        <item x="206"/>
        <item x="208"/>
        <item x="211"/>
        <item x="212"/>
        <item x="213"/>
        <item x="215"/>
        <item x="216"/>
        <item x="218"/>
        <item x="222"/>
        <item x="226"/>
        <item t="default"/>
      </items>
    </pivotField>
    <pivotField axis="axisRow" compact="0" outline="0" subtotalTop="0" showAll="0" includeNewItemsInFilter="1">
      <items count="13">
        <item x="2"/>
        <item h="1" x="3"/>
        <item x="1"/>
        <item x="5"/>
        <item x="7"/>
        <item x="0"/>
        <item x="4"/>
        <item m="1" x="9"/>
        <item x="8"/>
        <item m="1" x="10"/>
        <item x="6"/>
        <item m="1" x="11"/>
        <item t="default"/>
      </items>
    </pivotField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defaultSubtotal="0"/>
    <pivotField dataField="1" compact="0" outline="0" subtotalTop="0" showAll="0" includeNewItemsInFilter="1"/>
    <pivotField dataField="1" compact="0" outline="0" subtotalTop="0" showAll="0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</pivotFields>
  <rowFields count="1">
    <field x="4"/>
  </rowFields>
  <rowItems count="6">
    <i>
      <x/>
    </i>
    <i>
      <x v="2"/>
    </i>
    <i>
      <x v="3"/>
    </i>
    <i>
      <x v="5"/>
    </i>
    <i>
      <x v="8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pageFields count="1">
    <pageField fld="1" hier="0"/>
  </pageFields>
  <dataFields count="8">
    <dataField name="개수 : 십일조_x000a_(11000)" fld="7" subtotal="count" baseField="0" baseItem="0"/>
    <dataField name="개수 : 주일헌금_x000a_(11200)" fld="8" subtotal="count" baseField="0" baseItem="0"/>
    <dataField name="개수 : 세계선교헌금" fld="15" subtotal="count" baseField="4" baseItem="0"/>
    <dataField name="개수 : 후원회비_x000a_(13000)" fld="9" subtotal="count" baseField="0" baseItem="0"/>
    <dataField name="개수 : 건축헌금_x000a_(11300)" fld="13" subtotal="count" baseField="0" baseItem="0"/>
    <dataField name="개수 : 선교회비_x000a_(12000)" fld="14" subtotal="count" baseField="0" baseItem="0"/>
    <dataField name="개수 : 세계선교분담금" fld="17" subtotal="count" baseField="4" baseItem="3"/>
    <dataField name="개수 : 사랑의헌금_x000a_(14000)" fld="16" subtotal="count" baseField="0" baseItem="0"/>
  </dataFields>
  <formats count="13">
    <format dxfId="26">
      <pivotArea field="4" type="button" dataOnly="0" labelOnly="1" outline="0" axis="axisRow" fieldPosition="0"/>
    </format>
    <format dxfId="25">
      <pivotArea field="3" type="button" dataOnly="0" labelOnly="1" outline="0"/>
    </format>
    <format dxfId="24">
      <pivotArea dataOnly="0" labelOnly="1" outline="0" fieldPosition="0">
        <references count="1">
          <reference field="4294967294" count="5">
            <x v="0"/>
            <x v="1"/>
            <x v="3"/>
            <x v="5"/>
            <x v="7"/>
          </reference>
        </references>
      </pivotArea>
    </format>
    <format dxfId="23">
      <pivotArea field="4" type="button" dataOnly="0" labelOnly="1" outline="0" axis="axisRow" fieldPosition="0"/>
    </format>
    <format dxfId="22">
      <pivotArea field="3" type="button" dataOnly="0" labelOnly="1" outline="0"/>
    </format>
    <format dxfId="21">
      <pivotArea dataOnly="0" labelOnly="1" outline="0" fieldPosition="0">
        <references count="1">
          <reference field="4294967294" count="5">
            <x v="0"/>
            <x v="1"/>
            <x v="3"/>
            <x v="5"/>
            <x v="7"/>
          </reference>
        </references>
      </pivotArea>
    </format>
    <format dxfId="20">
      <pivotArea field="4" type="button" dataOnly="0" labelOnly="1" outline="0" axis="axisRow" fieldPosition="0"/>
    </format>
    <format dxfId="19">
      <pivotArea field="3" type="button" dataOnly="0" labelOnly="1" outline="0"/>
    </format>
    <format dxfId="18">
      <pivotArea dataOnly="0" labelOnly="1" outline="0" fieldPosition="0">
        <references count="1">
          <reference field="4294967294" count="5">
            <x v="0"/>
            <x v="1"/>
            <x v="3"/>
            <x v="5"/>
            <x v="7"/>
          </reference>
        </references>
      </pivotArea>
    </format>
    <format dxfId="17">
      <pivotArea field="4" type="button" dataOnly="0" labelOnly="1" outline="0" axis="axisRow" fieldPosition="0"/>
    </format>
    <format dxfId="16">
      <pivotArea dataOnly="0" labelOnly="1" outline="0" fieldPosition="0">
        <references count="1">
          <reference field="4294967294" count="6">
            <x v="0"/>
            <x v="1"/>
            <x v="3"/>
            <x v="4"/>
            <x v="5"/>
            <x v="7"/>
          </reference>
        </references>
      </pivotArea>
    </format>
    <format dxfId="15">
      <pivotArea field="4" type="button" dataOnly="0" labelOnly="1" outline="0" axis="axisRow" fieldPosition="0"/>
    </format>
    <format dxfId="14">
      <pivotArea dataOnly="0" labelOnly="1" outline="0" fieldPosition="0">
        <references count="1">
          <reference field="4294967294" count="6">
            <x v="0"/>
            <x v="1"/>
            <x v="3"/>
            <x v="4"/>
            <x v="5"/>
            <x v="7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X173"/>
  <sheetViews>
    <sheetView zoomScale="86" zoomScaleNormal="86"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I124" sqref="I124:S126"/>
    </sheetView>
  </sheetViews>
  <sheetFormatPr defaultColWidth="9" defaultRowHeight="13.2" x14ac:dyDescent="0.4"/>
  <cols>
    <col min="1" max="1" width="1.19921875" style="1" customWidth="1"/>
    <col min="2" max="2" width="12.59765625" style="18" customWidth="1"/>
    <col min="3" max="4" width="6.59765625" style="19" customWidth="1"/>
    <col min="5" max="5" width="17.5" style="19" bestFit="1" customWidth="1"/>
    <col min="6" max="6" width="9.59765625" style="19" customWidth="1"/>
    <col min="7" max="8" width="6.59765625" style="19" customWidth="1"/>
    <col min="9" max="9" width="12.59765625" style="20" customWidth="1"/>
    <col min="10" max="20" width="12.59765625" style="2" customWidth="1"/>
    <col min="21" max="21" width="16.59765625" style="3" customWidth="1"/>
    <col min="22" max="22" width="12.59765625" style="1" customWidth="1"/>
    <col min="23" max="23" width="9" style="1"/>
    <col min="24" max="24" width="9.69921875" style="1" bestFit="1" customWidth="1"/>
    <col min="25" max="25" width="9" style="1"/>
    <col min="26" max="26" width="9.69921875" style="1" bestFit="1" customWidth="1"/>
    <col min="27" max="16384" width="9" style="1"/>
  </cols>
  <sheetData>
    <row r="1" spans="2:22" ht="13.2" customHeight="1" thickBot="1" x14ac:dyDescent="0.45">
      <c r="B1" s="165" t="s">
        <v>633</v>
      </c>
      <c r="C1" s="165"/>
      <c r="D1" s="165"/>
      <c r="E1" s="165"/>
      <c r="F1" s="165"/>
      <c r="G1" s="165"/>
      <c r="H1" s="165"/>
      <c r="I1" s="165"/>
      <c r="J1" s="82"/>
      <c r="K1" s="82"/>
      <c r="L1" s="82"/>
      <c r="M1" s="82"/>
      <c r="N1" s="82"/>
      <c r="S1" s="82"/>
    </row>
    <row r="2" spans="2:22" ht="52.5" customHeight="1" thickBot="1" x14ac:dyDescent="0.45">
      <c r="B2" s="70" t="s">
        <v>371</v>
      </c>
      <c r="C2" s="69" t="s">
        <v>372</v>
      </c>
      <c r="D2" s="68" t="s">
        <v>373</v>
      </c>
      <c r="E2" s="67" t="s">
        <v>374</v>
      </c>
      <c r="F2" s="67" t="s">
        <v>375</v>
      </c>
      <c r="G2" s="67" t="s">
        <v>376</v>
      </c>
      <c r="H2" s="66" t="s">
        <v>429</v>
      </c>
      <c r="I2" s="49" t="s">
        <v>430</v>
      </c>
      <c r="J2" s="4" t="s">
        <v>431</v>
      </c>
      <c r="K2" s="4" t="s">
        <v>432</v>
      </c>
      <c r="L2" s="5" t="s">
        <v>377</v>
      </c>
      <c r="M2" s="5" t="s">
        <v>378</v>
      </c>
      <c r="N2" s="6" t="s">
        <v>379</v>
      </c>
      <c r="O2" s="7" t="s">
        <v>380</v>
      </c>
      <c r="P2" s="8" t="s">
        <v>433</v>
      </c>
      <c r="Q2" s="96" t="s">
        <v>568</v>
      </c>
      <c r="R2" s="7" t="s">
        <v>381</v>
      </c>
      <c r="S2" s="95" t="s">
        <v>567</v>
      </c>
      <c r="T2" s="6" t="s">
        <v>434</v>
      </c>
      <c r="U2" s="9" t="s">
        <v>382</v>
      </c>
      <c r="V2" s="65" t="s">
        <v>383</v>
      </c>
    </row>
    <row r="3" spans="2:22" ht="17.100000000000001" customHeight="1" thickTop="1" x14ac:dyDescent="0.4">
      <c r="B3" s="52">
        <v>46054</v>
      </c>
      <c r="C3" s="35">
        <v>2</v>
      </c>
      <c r="D3" s="53"/>
      <c r="E3" s="54" t="e">
        <f>VLOOKUP($D3,'헌금 봉투 번호 (2026)'!$B$2:$E$326,2,FALSE)</f>
        <v>#N/A</v>
      </c>
      <c r="F3" s="54" t="e">
        <f>VLOOKUP($D3,'헌금 봉투 번호 (2026)'!$B$2:$E$326,3,FALSE)</f>
        <v>#N/A</v>
      </c>
      <c r="G3" s="54" t="e">
        <f>VLOOKUP($D3,'헌금 봉투 번호 (2026)'!$B$2:$E$326,4,FALSE)</f>
        <v>#N/A</v>
      </c>
      <c r="H3" s="55"/>
      <c r="I3" s="10"/>
      <c r="J3" s="10"/>
      <c r="K3" s="11"/>
      <c r="L3" s="10"/>
      <c r="M3" s="10"/>
      <c r="N3" s="12"/>
      <c r="O3" s="10"/>
      <c r="P3" s="10"/>
      <c r="Q3" s="10"/>
      <c r="R3" s="10"/>
      <c r="S3" s="11"/>
      <c r="T3" s="12"/>
      <c r="U3" s="24"/>
      <c r="V3" s="64">
        <f t="shared" ref="V3:V34" si="0">SUM(I3:T3)</f>
        <v>0</v>
      </c>
    </row>
    <row r="4" spans="2:22" ht="17.100000000000001" customHeight="1" x14ac:dyDescent="0.4">
      <c r="B4" s="52">
        <v>46054</v>
      </c>
      <c r="C4" s="35">
        <v>2</v>
      </c>
      <c r="D4" s="53"/>
      <c r="E4" s="54" t="e">
        <f>VLOOKUP($D4,'헌금 봉투 번호 (2026)'!$B$2:$E$326,2,FALSE)</f>
        <v>#N/A</v>
      </c>
      <c r="F4" s="54" t="e">
        <f>VLOOKUP($D4,'헌금 봉투 번호 (2026)'!$B$2:$E$326,3,FALSE)</f>
        <v>#N/A</v>
      </c>
      <c r="G4" s="54" t="e">
        <f>VLOOKUP($D4,'헌금 봉투 번호 (2026)'!$B$2:$E$326,4,FALSE)</f>
        <v>#N/A</v>
      </c>
      <c r="H4" s="55"/>
      <c r="I4" s="13"/>
      <c r="J4" s="13"/>
      <c r="K4" s="11"/>
      <c r="L4" s="13"/>
      <c r="M4" s="13"/>
      <c r="N4" s="11"/>
      <c r="O4" s="11"/>
      <c r="P4" s="11"/>
      <c r="Q4" s="11"/>
      <c r="R4" s="13"/>
      <c r="S4" s="13"/>
      <c r="T4" s="11"/>
      <c r="U4" s="24"/>
      <c r="V4" s="64">
        <f t="shared" si="0"/>
        <v>0</v>
      </c>
    </row>
    <row r="5" spans="2:22" ht="17.100000000000001" customHeight="1" x14ac:dyDescent="0.4">
      <c r="B5" s="52">
        <v>46054</v>
      </c>
      <c r="C5" s="35">
        <v>2</v>
      </c>
      <c r="D5" s="53"/>
      <c r="E5" s="54" t="e">
        <f>VLOOKUP($D5,'헌금 봉투 번호 (2026)'!$B$2:$E$326,2,FALSE)</f>
        <v>#N/A</v>
      </c>
      <c r="F5" s="54" t="e">
        <f>VLOOKUP($D5,'헌금 봉투 번호 (2026)'!$B$2:$E$326,3,FALSE)</f>
        <v>#N/A</v>
      </c>
      <c r="G5" s="54" t="e">
        <f>VLOOKUP($D5,'헌금 봉투 번호 (2026)'!$B$2:$E$326,4,FALSE)</f>
        <v>#N/A</v>
      </c>
      <c r="H5" s="55"/>
      <c r="I5" s="13"/>
      <c r="J5" s="13"/>
      <c r="K5" s="11"/>
      <c r="L5" s="13"/>
      <c r="M5" s="13"/>
      <c r="N5" s="11"/>
      <c r="O5" s="13"/>
      <c r="P5" s="13"/>
      <c r="Q5" s="13"/>
      <c r="R5" s="13"/>
      <c r="S5" s="11"/>
      <c r="T5" s="11"/>
      <c r="U5" s="24"/>
      <c r="V5" s="64">
        <f t="shared" si="0"/>
        <v>0</v>
      </c>
    </row>
    <row r="6" spans="2:22" ht="17.100000000000001" customHeight="1" x14ac:dyDescent="0.4">
      <c r="B6" s="52">
        <v>46054</v>
      </c>
      <c r="C6" s="35">
        <v>2</v>
      </c>
      <c r="D6" s="53"/>
      <c r="E6" s="54" t="e">
        <f>VLOOKUP($D6,'헌금 봉투 번호 (2026)'!$B$2:$E$326,2,FALSE)</f>
        <v>#N/A</v>
      </c>
      <c r="F6" s="54" t="e">
        <f>VLOOKUP($D6,'헌금 봉투 번호 (2026)'!$B$2:$E$326,3,FALSE)</f>
        <v>#N/A</v>
      </c>
      <c r="G6" s="54" t="e">
        <f>VLOOKUP($D6,'헌금 봉투 번호 (2026)'!$B$2:$E$326,4,FALSE)</f>
        <v>#N/A</v>
      </c>
      <c r="H6" s="55"/>
      <c r="I6" s="13"/>
      <c r="J6" s="13"/>
      <c r="K6" s="11"/>
      <c r="L6" s="13"/>
      <c r="M6" s="13"/>
      <c r="N6" s="11"/>
      <c r="O6" s="54"/>
      <c r="P6" s="13"/>
      <c r="Q6" s="13"/>
      <c r="R6" s="13"/>
      <c r="S6" s="11"/>
      <c r="T6" s="11"/>
      <c r="U6" s="54"/>
      <c r="V6" s="64">
        <f t="shared" si="0"/>
        <v>0</v>
      </c>
    </row>
    <row r="7" spans="2:22" ht="17.100000000000001" customHeight="1" x14ac:dyDescent="0.4">
      <c r="B7" s="52">
        <v>46054</v>
      </c>
      <c r="C7" s="35">
        <v>2</v>
      </c>
      <c r="D7" s="53"/>
      <c r="E7" s="54" t="e">
        <f>VLOOKUP($D7,'헌금 봉투 번호 (2026)'!$B$2:$E$326,2,FALSE)</f>
        <v>#N/A</v>
      </c>
      <c r="F7" s="54" t="e">
        <f>VLOOKUP($D7,'헌금 봉투 번호 (2026)'!$B$2:$E$326,3,FALSE)</f>
        <v>#N/A</v>
      </c>
      <c r="G7" s="54" t="e">
        <f>VLOOKUP($D7,'헌금 봉투 번호 (2026)'!$B$2:$E$326,4,FALSE)</f>
        <v>#N/A</v>
      </c>
      <c r="H7" s="55"/>
      <c r="I7" s="13"/>
      <c r="J7" s="13"/>
      <c r="K7" s="11"/>
      <c r="L7" s="13"/>
      <c r="M7" s="13"/>
      <c r="N7" s="11"/>
      <c r="O7" s="13"/>
      <c r="P7" s="13"/>
      <c r="Q7" s="13"/>
      <c r="R7" s="13"/>
      <c r="S7" s="11"/>
      <c r="T7" s="11"/>
      <c r="U7" s="24"/>
      <c r="V7" s="64">
        <f t="shared" si="0"/>
        <v>0</v>
      </c>
    </row>
    <row r="8" spans="2:22" ht="17.100000000000001" customHeight="1" x14ac:dyDescent="0.4">
      <c r="B8" s="52">
        <v>46054</v>
      </c>
      <c r="C8" s="35">
        <v>2</v>
      </c>
      <c r="D8" s="53"/>
      <c r="E8" s="54" t="e">
        <f>VLOOKUP($D8,'헌금 봉투 번호 (2026)'!$B$2:$E$326,2,FALSE)</f>
        <v>#N/A</v>
      </c>
      <c r="F8" s="54" t="e">
        <f>VLOOKUP($D8,'헌금 봉투 번호 (2026)'!$B$2:$E$326,3,FALSE)</f>
        <v>#N/A</v>
      </c>
      <c r="G8" s="54" t="e">
        <f>VLOOKUP($D8,'헌금 봉투 번호 (2026)'!$B$2:$E$326,4,FALSE)</f>
        <v>#N/A</v>
      </c>
      <c r="H8" s="55"/>
      <c r="I8" s="13"/>
      <c r="J8" s="13"/>
      <c r="K8" s="11"/>
      <c r="L8" s="13"/>
      <c r="M8" s="13"/>
      <c r="N8" s="11"/>
      <c r="O8" s="11"/>
      <c r="P8" s="11"/>
      <c r="Q8" s="11"/>
      <c r="R8" s="13"/>
      <c r="S8" s="13"/>
      <c r="T8" s="12"/>
      <c r="U8" s="55"/>
      <c r="V8" s="64">
        <f t="shared" si="0"/>
        <v>0</v>
      </c>
    </row>
    <row r="9" spans="2:22" ht="17.100000000000001" customHeight="1" x14ac:dyDescent="0.4">
      <c r="B9" s="52">
        <v>46054</v>
      </c>
      <c r="C9" s="35">
        <v>2</v>
      </c>
      <c r="D9" s="53"/>
      <c r="E9" s="54" t="e">
        <f>VLOOKUP($D9,'헌금 봉투 번호 (2026)'!$B$2:$E$326,2,FALSE)</f>
        <v>#N/A</v>
      </c>
      <c r="F9" s="54" t="e">
        <f>VLOOKUP($D9,'헌금 봉투 번호 (2026)'!$B$2:$E$326,3,FALSE)</f>
        <v>#N/A</v>
      </c>
      <c r="G9" s="54" t="e">
        <f>VLOOKUP($D9,'헌금 봉투 번호 (2026)'!$B$2:$E$326,4,FALSE)</f>
        <v>#N/A</v>
      </c>
      <c r="H9" s="55"/>
      <c r="I9" s="13"/>
      <c r="J9" s="13"/>
      <c r="K9" s="11"/>
      <c r="L9" s="13"/>
      <c r="M9" s="13"/>
      <c r="N9" s="90"/>
      <c r="O9" s="13"/>
      <c r="P9" s="13"/>
      <c r="Q9" s="13"/>
      <c r="R9" s="13"/>
      <c r="S9" s="90"/>
      <c r="T9" s="11"/>
      <c r="U9" s="91"/>
      <c r="V9" s="64">
        <f t="shared" si="0"/>
        <v>0</v>
      </c>
    </row>
    <row r="10" spans="2:22" ht="17.100000000000001" customHeight="1" x14ac:dyDescent="0.4">
      <c r="B10" s="52">
        <v>46054</v>
      </c>
      <c r="C10" s="35">
        <v>2</v>
      </c>
      <c r="D10" s="53"/>
      <c r="E10" s="54" t="e">
        <f>VLOOKUP($D10,'헌금 봉투 번호 (2026)'!$B$2:$E$326,2,FALSE)</f>
        <v>#N/A</v>
      </c>
      <c r="F10" s="54" t="e">
        <f>VLOOKUP($D10,'헌금 봉투 번호 (2026)'!$B$2:$E$326,3,FALSE)</f>
        <v>#N/A</v>
      </c>
      <c r="G10" s="54" t="e">
        <f>VLOOKUP($D10,'헌금 봉투 번호 (2026)'!$B$2:$E$326,4,FALSE)</f>
        <v>#N/A</v>
      </c>
      <c r="H10" s="55"/>
      <c r="I10" s="13"/>
      <c r="J10" s="13"/>
      <c r="K10" s="11"/>
      <c r="L10" s="13"/>
      <c r="M10" s="13"/>
      <c r="N10" s="11"/>
      <c r="O10" s="54"/>
      <c r="P10" s="13"/>
      <c r="Q10" s="13"/>
      <c r="R10" s="13"/>
      <c r="S10" s="11"/>
      <c r="T10" s="11"/>
      <c r="U10" s="54"/>
      <c r="V10" s="64">
        <f t="shared" si="0"/>
        <v>0</v>
      </c>
    </row>
    <row r="11" spans="2:22" ht="17.100000000000001" customHeight="1" x14ac:dyDescent="0.4">
      <c r="B11" s="52">
        <v>46054</v>
      </c>
      <c r="C11" s="35">
        <v>2</v>
      </c>
      <c r="D11" s="53"/>
      <c r="E11" s="54" t="e">
        <f>VLOOKUP($D11,'헌금 봉투 번호 (2026)'!$B$2:$E$326,2,FALSE)</f>
        <v>#N/A</v>
      </c>
      <c r="F11" s="54" t="e">
        <f>VLOOKUP($D11,'헌금 봉투 번호 (2026)'!$B$2:$E$326,3,FALSE)</f>
        <v>#N/A</v>
      </c>
      <c r="G11" s="54" t="e">
        <f>VLOOKUP($D11,'헌금 봉투 번호 (2026)'!$B$2:$E$326,4,FALSE)</f>
        <v>#N/A</v>
      </c>
      <c r="H11" s="55"/>
      <c r="I11" s="13"/>
      <c r="J11" s="13"/>
      <c r="K11" s="11"/>
      <c r="L11" s="13"/>
      <c r="M11" s="13"/>
      <c r="N11" s="90"/>
      <c r="O11" s="13"/>
      <c r="P11" s="13"/>
      <c r="Q11" s="13"/>
      <c r="R11" s="13"/>
      <c r="S11" s="11"/>
      <c r="T11" s="11"/>
      <c r="U11" s="54"/>
      <c r="V11" s="64">
        <f t="shared" si="0"/>
        <v>0</v>
      </c>
    </row>
    <row r="12" spans="2:22" ht="17.100000000000001" customHeight="1" x14ac:dyDescent="0.4">
      <c r="B12" s="52">
        <v>46054</v>
      </c>
      <c r="C12" s="35">
        <v>2</v>
      </c>
      <c r="D12" s="53"/>
      <c r="E12" s="54" t="e">
        <f>VLOOKUP($D12,'헌금 봉투 번호 (2026)'!$B$2:$E$326,2,FALSE)</f>
        <v>#N/A</v>
      </c>
      <c r="F12" s="54" t="e">
        <f>VLOOKUP($D12,'헌금 봉투 번호 (2026)'!$B$2:$E$326,3,FALSE)</f>
        <v>#N/A</v>
      </c>
      <c r="G12" s="54" t="e">
        <f>VLOOKUP($D12,'헌금 봉투 번호 (2026)'!$B$2:$E$326,4,FALSE)</f>
        <v>#N/A</v>
      </c>
      <c r="H12" s="55"/>
      <c r="I12" s="13"/>
      <c r="J12" s="13"/>
      <c r="K12" s="11"/>
      <c r="L12" s="13"/>
      <c r="M12" s="13"/>
      <c r="N12" s="11"/>
      <c r="O12" s="13"/>
      <c r="P12" s="13"/>
      <c r="Q12" s="13"/>
      <c r="R12" s="13"/>
      <c r="S12" s="11"/>
      <c r="T12" s="11"/>
      <c r="U12" s="24"/>
      <c r="V12" s="64">
        <f t="shared" si="0"/>
        <v>0</v>
      </c>
    </row>
    <row r="13" spans="2:22" ht="17.399999999999999" customHeight="1" x14ac:dyDescent="0.4">
      <c r="B13" s="52">
        <v>46054</v>
      </c>
      <c r="C13" s="35">
        <v>2</v>
      </c>
      <c r="D13" s="53"/>
      <c r="E13" s="54" t="e">
        <f>VLOOKUP($D13,'헌금 봉투 번호 (2026)'!$B$2:$E$326,2,FALSE)</f>
        <v>#N/A</v>
      </c>
      <c r="F13" s="54" t="e">
        <f>VLOOKUP($D13,'헌금 봉투 번호 (2026)'!$B$2:$E$326,3,FALSE)</f>
        <v>#N/A</v>
      </c>
      <c r="G13" s="54" t="e">
        <f>VLOOKUP($D13,'헌금 봉투 번호 (2026)'!$B$2:$E$326,4,FALSE)</f>
        <v>#N/A</v>
      </c>
      <c r="H13" s="55"/>
      <c r="I13" s="13"/>
      <c r="J13" s="13"/>
      <c r="K13" s="11"/>
      <c r="L13" s="13"/>
      <c r="M13" s="13"/>
      <c r="N13" s="90"/>
      <c r="O13" s="13"/>
      <c r="P13" s="13"/>
      <c r="Q13" s="13"/>
      <c r="R13" s="13"/>
      <c r="S13" s="11"/>
      <c r="T13" s="11"/>
      <c r="U13" s="92"/>
      <c r="V13" s="64">
        <f t="shared" si="0"/>
        <v>0</v>
      </c>
    </row>
    <row r="14" spans="2:22" ht="17.100000000000001" customHeight="1" x14ac:dyDescent="0.4">
      <c r="B14" s="52">
        <v>46054</v>
      </c>
      <c r="C14" s="35">
        <v>2</v>
      </c>
      <c r="D14" s="53"/>
      <c r="E14" s="54" t="e">
        <f>VLOOKUP($D14,'헌금 봉투 번호 (2026)'!$B$2:$E$326,2,FALSE)</f>
        <v>#N/A</v>
      </c>
      <c r="F14" s="54" t="e">
        <f>VLOOKUP($D14,'헌금 봉투 번호 (2026)'!$B$2:$E$326,3,FALSE)</f>
        <v>#N/A</v>
      </c>
      <c r="G14" s="54" t="e">
        <f>VLOOKUP($D14,'헌금 봉투 번호 (2026)'!$B$2:$E$326,4,FALSE)</f>
        <v>#N/A</v>
      </c>
      <c r="H14" s="55"/>
      <c r="I14" s="13"/>
      <c r="J14" s="13"/>
      <c r="K14" s="11"/>
      <c r="L14" s="13"/>
      <c r="M14" s="13"/>
      <c r="N14" s="11"/>
      <c r="O14" s="13"/>
      <c r="P14" s="13"/>
      <c r="Q14" s="13"/>
      <c r="R14" s="13"/>
      <c r="S14" s="11"/>
      <c r="T14" s="11"/>
      <c r="U14" s="24"/>
      <c r="V14" s="64">
        <f t="shared" si="0"/>
        <v>0</v>
      </c>
    </row>
    <row r="15" spans="2:22" ht="17.100000000000001" customHeight="1" x14ac:dyDescent="0.4">
      <c r="B15" s="52">
        <v>46054</v>
      </c>
      <c r="C15" s="35">
        <v>2</v>
      </c>
      <c r="D15" s="53"/>
      <c r="E15" s="54" t="e">
        <f>VLOOKUP($D15,'헌금 봉투 번호 (2026)'!$B$2:$E$326,2,FALSE)</f>
        <v>#N/A</v>
      </c>
      <c r="F15" s="54" t="e">
        <f>VLOOKUP($D15,'헌금 봉투 번호 (2026)'!$B$2:$E$326,3,FALSE)</f>
        <v>#N/A</v>
      </c>
      <c r="G15" s="54" t="e">
        <f>VLOOKUP($D15,'헌금 봉투 번호 (2026)'!$B$2:$E$326,4,FALSE)</f>
        <v>#N/A</v>
      </c>
      <c r="H15" s="55"/>
      <c r="I15" s="13"/>
      <c r="J15" s="13"/>
      <c r="K15" s="11"/>
      <c r="L15" s="13"/>
      <c r="M15" s="13"/>
      <c r="N15" s="90"/>
      <c r="O15" s="13"/>
      <c r="P15" s="13"/>
      <c r="Q15" s="13"/>
      <c r="R15" s="13"/>
      <c r="S15" s="11"/>
      <c r="T15" s="11"/>
      <c r="U15" s="24"/>
      <c r="V15" s="64">
        <f t="shared" si="0"/>
        <v>0</v>
      </c>
    </row>
    <row r="16" spans="2:22" ht="17.100000000000001" customHeight="1" x14ac:dyDescent="0.4">
      <c r="B16" s="52">
        <v>46054</v>
      </c>
      <c r="C16" s="35">
        <v>2</v>
      </c>
      <c r="D16" s="53"/>
      <c r="E16" s="54" t="e">
        <f>VLOOKUP($D16,'헌금 봉투 번호 (2026)'!$B$2:$E$326,2,FALSE)</f>
        <v>#N/A</v>
      </c>
      <c r="F16" s="54" t="e">
        <f>VLOOKUP($D16,'헌금 봉투 번호 (2026)'!$B$2:$E$326,3,FALSE)</f>
        <v>#N/A</v>
      </c>
      <c r="G16" s="54" t="e">
        <f>VLOOKUP($D16,'헌금 봉투 번호 (2026)'!$B$2:$E$326,4,FALSE)</f>
        <v>#N/A</v>
      </c>
      <c r="H16" s="55"/>
      <c r="I16" s="13"/>
      <c r="J16" s="13"/>
      <c r="K16" s="11"/>
      <c r="L16" s="13"/>
      <c r="M16" s="13"/>
      <c r="N16" s="90"/>
      <c r="O16" s="13"/>
      <c r="P16" s="13"/>
      <c r="Q16" s="13"/>
      <c r="R16" s="13"/>
      <c r="S16" s="11"/>
      <c r="T16" s="11"/>
      <c r="U16" s="91"/>
      <c r="V16" s="64">
        <f t="shared" si="0"/>
        <v>0</v>
      </c>
    </row>
    <row r="17" spans="2:22" ht="17.100000000000001" customHeight="1" x14ac:dyDescent="0.4">
      <c r="B17" s="52">
        <v>46054</v>
      </c>
      <c r="C17" s="35">
        <v>2</v>
      </c>
      <c r="D17" s="53"/>
      <c r="E17" s="54" t="e">
        <f>VLOOKUP($D17,'헌금 봉투 번호 (2026)'!$B$2:$E$326,2,FALSE)</f>
        <v>#N/A</v>
      </c>
      <c r="F17" s="54" t="e">
        <f>VLOOKUP($D17,'헌금 봉투 번호 (2026)'!$B$2:$E$326,3,FALSE)</f>
        <v>#N/A</v>
      </c>
      <c r="G17" s="54" t="e">
        <f>VLOOKUP($D17,'헌금 봉투 번호 (2026)'!$B$2:$E$326,4,FALSE)</f>
        <v>#N/A</v>
      </c>
      <c r="H17" s="55"/>
      <c r="I17" s="13"/>
      <c r="J17" s="13"/>
      <c r="K17" s="11"/>
      <c r="L17" s="13"/>
      <c r="M17" s="13"/>
      <c r="N17" s="11"/>
      <c r="O17" s="54"/>
      <c r="P17" s="13"/>
      <c r="Q17" s="13"/>
      <c r="R17" s="13"/>
      <c r="S17" s="11"/>
      <c r="T17" s="11"/>
      <c r="U17" s="54"/>
      <c r="V17" s="64">
        <f t="shared" si="0"/>
        <v>0</v>
      </c>
    </row>
    <row r="18" spans="2:22" ht="17.100000000000001" customHeight="1" x14ac:dyDescent="0.4">
      <c r="B18" s="52">
        <v>46054</v>
      </c>
      <c r="C18" s="35">
        <v>2</v>
      </c>
      <c r="D18" s="53"/>
      <c r="E18" s="54" t="e">
        <f>VLOOKUP($D18,'헌금 봉투 번호 (2026)'!$B$2:$E$326,2,FALSE)</f>
        <v>#N/A</v>
      </c>
      <c r="F18" s="54" t="e">
        <f>VLOOKUP($D18,'헌금 봉투 번호 (2026)'!$B$2:$E$326,3,FALSE)</f>
        <v>#N/A</v>
      </c>
      <c r="G18" s="54" t="e">
        <f>VLOOKUP($D18,'헌금 봉투 번호 (2026)'!$B$2:$E$326,4,FALSE)</f>
        <v>#N/A</v>
      </c>
      <c r="H18" s="55"/>
      <c r="I18" s="13"/>
      <c r="J18" s="13"/>
      <c r="K18" s="11"/>
      <c r="L18" s="13"/>
      <c r="M18" s="13"/>
      <c r="N18" s="90"/>
      <c r="O18" s="11"/>
      <c r="P18" s="11"/>
      <c r="Q18" s="11"/>
      <c r="R18" s="13"/>
      <c r="S18" s="13"/>
      <c r="T18" s="11"/>
      <c r="U18" s="94"/>
      <c r="V18" s="64">
        <f t="shared" si="0"/>
        <v>0</v>
      </c>
    </row>
    <row r="19" spans="2:22" ht="17.100000000000001" customHeight="1" x14ac:dyDescent="0.4">
      <c r="B19" s="52">
        <v>46054</v>
      </c>
      <c r="C19" s="35">
        <v>2</v>
      </c>
      <c r="D19" s="53"/>
      <c r="E19" s="54" t="e">
        <f>VLOOKUP($D19,'헌금 봉투 번호 (2026)'!$B$2:$E$326,2,FALSE)</f>
        <v>#N/A</v>
      </c>
      <c r="F19" s="54" t="e">
        <f>VLOOKUP($D19,'헌금 봉투 번호 (2026)'!$B$2:$E$326,3,FALSE)</f>
        <v>#N/A</v>
      </c>
      <c r="G19" s="54" t="e">
        <f>VLOOKUP($D19,'헌금 봉투 번호 (2026)'!$B$2:$E$326,4,FALSE)</f>
        <v>#N/A</v>
      </c>
      <c r="H19" s="55"/>
      <c r="I19" s="10"/>
      <c r="J19" s="10"/>
      <c r="K19" s="11"/>
      <c r="L19" s="10"/>
      <c r="M19" s="10"/>
      <c r="N19" s="90"/>
      <c r="O19" s="13"/>
      <c r="P19" s="13"/>
      <c r="Q19" s="13"/>
      <c r="R19" s="13"/>
      <c r="S19" s="11"/>
      <c r="T19" s="11"/>
      <c r="U19" s="24"/>
      <c r="V19" s="64">
        <f t="shared" si="0"/>
        <v>0</v>
      </c>
    </row>
    <row r="20" spans="2:22" ht="17.100000000000001" customHeight="1" x14ac:dyDescent="0.4">
      <c r="B20" s="52">
        <v>46054</v>
      </c>
      <c r="C20" s="35">
        <v>2</v>
      </c>
      <c r="D20" s="53"/>
      <c r="E20" s="54" t="e">
        <f>VLOOKUP($D20,'헌금 봉투 번호 (2026)'!$B$2:$E$326,2,FALSE)</f>
        <v>#N/A</v>
      </c>
      <c r="F20" s="54" t="e">
        <f>VLOOKUP($D20,'헌금 봉투 번호 (2026)'!$B$2:$E$326,3,FALSE)</f>
        <v>#N/A</v>
      </c>
      <c r="G20" s="54" t="e">
        <f>VLOOKUP($D20,'헌금 봉투 번호 (2026)'!$B$2:$E$326,4,FALSE)</f>
        <v>#N/A</v>
      </c>
      <c r="H20" s="55"/>
      <c r="I20" s="13"/>
      <c r="J20" s="13"/>
      <c r="K20" s="11"/>
      <c r="L20" s="13"/>
      <c r="M20" s="13"/>
      <c r="N20" s="90"/>
      <c r="O20" s="13"/>
      <c r="P20" s="13"/>
      <c r="Q20" s="13"/>
      <c r="R20" s="13"/>
      <c r="S20" s="11"/>
      <c r="T20" s="11"/>
      <c r="U20" s="94"/>
      <c r="V20" s="64">
        <f t="shared" si="0"/>
        <v>0</v>
      </c>
    </row>
    <row r="21" spans="2:22" ht="17.100000000000001" customHeight="1" x14ac:dyDescent="0.4">
      <c r="B21" s="52">
        <v>46054</v>
      </c>
      <c r="C21" s="35">
        <v>2</v>
      </c>
      <c r="D21" s="53"/>
      <c r="E21" s="54" t="e">
        <f>VLOOKUP($D21,'헌금 봉투 번호 (2026)'!$B$2:$E$326,2,FALSE)</f>
        <v>#N/A</v>
      </c>
      <c r="F21" s="54" t="e">
        <f>VLOOKUP($D21,'헌금 봉투 번호 (2026)'!$B$2:$E$326,3,FALSE)</f>
        <v>#N/A</v>
      </c>
      <c r="G21" s="54" t="e">
        <f>VLOOKUP($D21,'헌금 봉투 번호 (2026)'!$B$2:$E$326,4,FALSE)</f>
        <v>#N/A</v>
      </c>
      <c r="H21" s="55"/>
      <c r="I21" s="13"/>
      <c r="J21" s="13"/>
      <c r="K21" s="11"/>
      <c r="L21" s="13"/>
      <c r="M21" s="13"/>
      <c r="N21" s="90"/>
      <c r="O21" s="13"/>
      <c r="P21" s="13"/>
      <c r="Q21" s="13"/>
      <c r="R21" s="13"/>
      <c r="S21" s="11"/>
      <c r="T21" s="11"/>
      <c r="U21" s="92"/>
      <c r="V21" s="64">
        <f t="shared" si="0"/>
        <v>0</v>
      </c>
    </row>
    <row r="22" spans="2:22" ht="17.100000000000001" customHeight="1" x14ac:dyDescent="0.4">
      <c r="B22" s="52">
        <v>46054</v>
      </c>
      <c r="C22" s="35">
        <v>2</v>
      </c>
      <c r="D22" s="53"/>
      <c r="E22" s="54" t="e">
        <f>VLOOKUP($D22,'헌금 봉투 번호 (2026)'!$B$2:$E$326,2,FALSE)</f>
        <v>#N/A</v>
      </c>
      <c r="F22" s="54" t="e">
        <f>VLOOKUP($D22,'헌금 봉투 번호 (2026)'!$B$2:$E$326,3,FALSE)</f>
        <v>#N/A</v>
      </c>
      <c r="G22" s="54" t="e">
        <f>VLOOKUP($D22,'헌금 봉투 번호 (2026)'!$B$2:$E$326,4,FALSE)</f>
        <v>#N/A</v>
      </c>
      <c r="H22" s="55"/>
      <c r="I22" s="13"/>
      <c r="J22" s="13"/>
      <c r="K22" s="11"/>
      <c r="L22" s="13"/>
      <c r="M22" s="13"/>
      <c r="N22" s="90"/>
      <c r="O22" s="13"/>
      <c r="P22" s="13"/>
      <c r="Q22" s="13"/>
      <c r="R22" s="13"/>
      <c r="S22" s="11"/>
      <c r="T22" s="11"/>
      <c r="U22" s="92"/>
      <c r="V22" s="64">
        <f t="shared" si="0"/>
        <v>0</v>
      </c>
    </row>
    <row r="23" spans="2:22" ht="17.100000000000001" customHeight="1" x14ac:dyDescent="0.4">
      <c r="B23" s="52">
        <v>46054</v>
      </c>
      <c r="C23" s="35">
        <v>2</v>
      </c>
      <c r="D23" s="53"/>
      <c r="E23" s="54" t="e">
        <f>VLOOKUP($D23,'헌금 봉투 번호 (2026)'!$B$2:$E$326,2,FALSE)</f>
        <v>#N/A</v>
      </c>
      <c r="F23" s="54" t="e">
        <f>VLOOKUP($D23,'헌금 봉투 번호 (2026)'!$B$2:$E$326,3,FALSE)</f>
        <v>#N/A</v>
      </c>
      <c r="G23" s="54" t="e">
        <f>VLOOKUP($D23,'헌금 봉투 번호 (2026)'!$B$2:$E$326,4,FALSE)</f>
        <v>#N/A</v>
      </c>
      <c r="H23" s="55"/>
      <c r="I23" s="13"/>
      <c r="J23" s="13"/>
      <c r="K23" s="11"/>
      <c r="L23" s="84"/>
      <c r="M23" s="13"/>
      <c r="N23" s="90"/>
      <c r="O23" s="13"/>
      <c r="P23" s="13"/>
      <c r="Q23" s="13"/>
      <c r="R23" s="13"/>
      <c r="S23" s="11"/>
      <c r="T23" s="11"/>
      <c r="U23" s="154"/>
      <c r="V23" s="64">
        <f t="shared" si="0"/>
        <v>0</v>
      </c>
    </row>
    <row r="24" spans="2:22" ht="17.100000000000001" customHeight="1" x14ac:dyDescent="0.4">
      <c r="B24" s="52">
        <v>46054</v>
      </c>
      <c r="C24" s="35">
        <v>2</v>
      </c>
      <c r="D24" s="53"/>
      <c r="E24" s="54" t="e">
        <f>VLOOKUP($D24,'헌금 봉투 번호 (2026)'!$B$2:$E$326,2,FALSE)</f>
        <v>#N/A</v>
      </c>
      <c r="F24" s="54" t="e">
        <f>VLOOKUP($D24,'헌금 봉투 번호 (2026)'!$B$2:$E$326,3,FALSE)</f>
        <v>#N/A</v>
      </c>
      <c r="G24" s="54" t="e">
        <f>VLOOKUP($D24,'헌금 봉투 번호 (2026)'!$B$2:$E$326,4,FALSE)</f>
        <v>#N/A</v>
      </c>
      <c r="H24" s="55"/>
      <c r="I24" s="13"/>
      <c r="J24" s="13"/>
      <c r="K24" s="11"/>
      <c r="L24" s="13"/>
      <c r="M24" s="13"/>
      <c r="N24" s="11"/>
      <c r="O24" s="13"/>
      <c r="P24" s="13"/>
      <c r="Q24" s="13"/>
      <c r="R24" s="13"/>
      <c r="S24" s="11"/>
      <c r="T24" s="11"/>
      <c r="U24" s="24"/>
      <c r="V24" s="64">
        <f t="shared" si="0"/>
        <v>0</v>
      </c>
    </row>
    <row r="25" spans="2:22" ht="17.100000000000001" customHeight="1" x14ac:dyDescent="0.4">
      <c r="B25" s="52">
        <v>46054</v>
      </c>
      <c r="C25" s="35">
        <v>2</v>
      </c>
      <c r="D25" s="53"/>
      <c r="E25" s="54" t="e">
        <f>VLOOKUP($D25,'헌금 봉투 번호 (2026)'!$B$2:$E$326,2,FALSE)</f>
        <v>#N/A</v>
      </c>
      <c r="F25" s="54" t="e">
        <f>VLOOKUP($D25,'헌금 봉투 번호 (2026)'!$B$2:$E$326,3,FALSE)</f>
        <v>#N/A</v>
      </c>
      <c r="G25" s="54" t="e">
        <f>VLOOKUP($D25,'헌금 봉투 번호 (2026)'!$B$2:$E$326,4,FALSE)</f>
        <v>#N/A</v>
      </c>
      <c r="H25" s="55"/>
      <c r="I25" s="13"/>
      <c r="J25" s="13"/>
      <c r="K25" s="11"/>
      <c r="L25" s="13"/>
      <c r="M25" s="13"/>
      <c r="N25" s="90"/>
      <c r="O25" s="13"/>
      <c r="P25" s="13"/>
      <c r="Q25" s="13"/>
      <c r="R25" s="13"/>
      <c r="S25" s="11"/>
      <c r="T25" s="11"/>
      <c r="U25" s="94"/>
      <c r="V25" s="64">
        <f t="shared" si="0"/>
        <v>0</v>
      </c>
    </row>
    <row r="26" spans="2:22" ht="17.100000000000001" customHeight="1" x14ac:dyDescent="0.4">
      <c r="B26" s="52">
        <v>46054</v>
      </c>
      <c r="C26" s="35">
        <v>2</v>
      </c>
      <c r="D26" s="53"/>
      <c r="E26" s="54" t="e">
        <f>VLOOKUP($D26,'헌금 봉투 번호 (2026)'!$B$2:$E$326,2,FALSE)</f>
        <v>#N/A</v>
      </c>
      <c r="F26" s="54" t="e">
        <f>VLOOKUP($D26,'헌금 봉투 번호 (2026)'!$B$2:$E$326,3,FALSE)</f>
        <v>#N/A</v>
      </c>
      <c r="G26" s="54" t="e">
        <f>VLOOKUP($D26,'헌금 봉투 번호 (2026)'!$B$2:$E$326,4,FALSE)</f>
        <v>#N/A</v>
      </c>
      <c r="H26" s="55"/>
      <c r="I26" s="13"/>
      <c r="J26" s="13"/>
      <c r="K26" s="11"/>
      <c r="L26" s="13"/>
      <c r="M26" s="13"/>
      <c r="N26" s="90"/>
      <c r="O26" s="13"/>
      <c r="P26" s="13"/>
      <c r="Q26" s="13"/>
      <c r="R26" s="13"/>
      <c r="S26" s="11"/>
      <c r="T26" s="11"/>
      <c r="U26" s="98"/>
      <c r="V26" s="64">
        <f t="shared" si="0"/>
        <v>0</v>
      </c>
    </row>
    <row r="27" spans="2:22" ht="17.100000000000001" customHeight="1" x14ac:dyDescent="0.4">
      <c r="B27" s="52">
        <v>46054</v>
      </c>
      <c r="C27" s="35">
        <v>2</v>
      </c>
      <c r="D27" s="53"/>
      <c r="E27" s="54" t="e">
        <f>VLOOKUP($D27,'헌금 봉투 번호 (2026)'!$B$2:$E$326,2,FALSE)</f>
        <v>#N/A</v>
      </c>
      <c r="F27" s="54" t="e">
        <f>VLOOKUP($D27,'헌금 봉투 번호 (2026)'!$B$2:$E$326,3,FALSE)</f>
        <v>#N/A</v>
      </c>
      <c r="G27" s="54" t="e">
        <f>VLOOKUP($D27,'헌금 봉투 번호 (2026)'!$B$2:$E$326,4,FALSE)</f>
        <v>#N/A</v>
      </c>
      <c r="H27" s="55"/>
      <c r="I27" s="13"/>
      <c r="J27" s="13"/>
      <c r="K27" s="11"/>
      <c r="L27" s="13"/>
      <c r="M27" s="13"/>
      <c r="N27" s="90"/>
      <c r="O27" s="13"/>
      <c r="P27" s="13"/>
      <c r="Q27" s="13"/>
      <c r="R27" s="13"/>
      <c r="S27" s="11"/>
      <c r="T27" s="11"/>
      <c r="U27" s="98"/>
      <c r="V27" s="64">
        <f t="shared" si="0"/>
        <v>0</v>
      </c>
    </row>
    <row r="28" spans="2:22" ht="17.100000000000001" customHeight="1" x14ac:dyDescent="0.4">
      <c r="B28" s="52">
        <v>46054</v>
      </c>
      <c r="C28" s="35">
        <v>2</v>
      </c>
      <c r="D28" s="53"/>
      <c r="E28" s="54" t="e">
        <f>VLOOKUP($D28,'헌금 봉투 번호 (2026)'!$B$2:$E$326,2,FALSE)</f>
        <v>#N/A</v>
      </c>
      <c r="F28" s="54" t="e">
        <f>VLOOKUP($D28,'헌금 봉투 번호 (2026)'!$B$2:$E$326,3,FALSE)</f>
        <v>#N/A</v>
      </c>
      <c r="G28" s="54" t="e">
        <f>VLOOKUP($D28,'헌금 봉투 번호 (2026)'!$B$2:$E$326,4,FALSE)</f>
        <v>#N/A</v>
      </c>
      <c r="H28" s="55"/>
      <c r="I28" s="13"/>
      <c r="J28" s="13"/>
      <c r="K28" s="11"/>
      <c r="L28" s="13"/>
      <c r="M28" s="13"/>
      <c r="N28" s="90"/>
      <c r="O28" s="13"/>
      <c r="P28" s="13"/>
      <c r="Q28" s="13"/>
      <c r="R28" s="13"/>
      <c r="S28" s="11"/>
      <c r="T28" s="11"/>
      <c r="U28" s="98"/>
      <c r="V28" s="64">
        <f t="shared" si="0"/>
        <v>0</v>
      </c>
    </row>
    <row r="29" spans="2:22" ht="17.100000000000001" customHeight="1" x14ac:dyDescent="0.4">
      <c r="B29" s="52">
        <v>46054</v>
      </c>
      <c r="C29" s="35">
        <v>2</v>
      </c>
      <c r="D29" s="53"/>
      <c r="E29" s="54" t="e">
        <f>VLOOKUP($D29,'헌금 봉투 번호 (2026)'!$B$2:$E$326,2,FALSE)</f>
        <v>#N/A</v>
      </c>
      <c r="F29" s="54" t="e">
        <f>VLOOKUP($D29,'헌금 봉투 번호 (2026)'!$B$2:$E$326,3,FALSE)</f>
        <v>#N/A</v>
      </c>
      <c r="G29" s="54" t="e">
        <f>VLOOKUP($D29,'헌금 봉투 번호 (2026)'!$B$2:$E$326,4,FALSE)</f>
        <v>#N/A</v>
      </c>
      <c r="H29" s="55"/>
      <c r="I29" s="13"/>
      <c r="J29" s="13"/>
      <c r="K29" s="11"/>
      <c r="L29" s="13"/>
      <c r="M29" s="13"/>
      <c r="N29" s="90"/>
      <c r="O29" s="13"/>
      <c r="P29" s="13"/>
      <c r="Q29" s="13"/>
      <c r="R29" s="13"/>
      <c r="S29" s="11"/>
      <c r="T29" s="11"/>
      <c r="U29" s="98"/>
      <c r="V29" s="64">
        <f t="shared" si="0"/>
        <v>0</v>
      </c>
    </row>
    <row r="30" spans="2:22" ht="17.100000000000001" customHeight="1" x14ac:dyDescent="0.4">
      <c r="B30" s="52">
        <v>46054</v>
      </c>
      <c r="C30" s="35">
        <v>2</v>
      </c>
      <c r="D30" s="53"/>
      <c r="E30" s="54" t="e">
        <f>VLOOKUP($D30,'헌금 봉투 번호 (2026)'!$B$2:$E$326,2,FALSE)</f>
        <v>#N/A</v>
      </c>
      <c r="F30" s="54" t="e">
        <f>VLOOKUP($D30,'헌금 봉투 번호 (2026)'!$B$2:$E$326,3,FALSE)</f>
        <v>#N/A</v>
      </c>
      <c r="G30" s="54" t="e">
        <f>VLOOKUP($D30,'헌금 봉투 번호 (2026)'!$B$2:$E$326,4,FALSE)</f>
        <v>#N/A</v>
      </c>
      <c r="H30" s="55"/>
      <c r="I30" s="13"/>
      <c r="J30" s="13"/>
      <c r="K30" s="11"/>
      <c r="L30" s="13"/>
      <c r="M30" s="13"/>
      <c r="N30" s="11"/>
      <c r="O30" s="13"/>
      <c r="P30" s="13"/>
      <c r="Q30" s="13"/>
      <c r="R30" s="13"/>
      <c r="S30" s="11"/>
      <c r="T30" s="11"/>
      <c r="U30" s="24"/>
      <c r="V30" s="64">
        <f t="shared" si="0"/>
        <v>0</v>
      </c>
    </row>
    <row r="31" spans="2:22" ht="17.100000000000001" customHeight="1" x14ac:dyDescent="0.4">
      <c r="B31" s="52">
        <v>46054</v>
      </c>
      <c r="C31" s="35">
        <v>2</v>
      </c>
      <c r="D31" s="53"/>
      <c r="E31" s="54" t="e">
        <f>VLOOKUP($D31,'헌금 봉투 번호 (2026)'!$B$2:$E$326,2,FALSE)</f>
        <v>#N/A</v>
      </c>
      <c r="F31" s="54" t="e">
        <f>VLOOKUP($D31,'헌금 봉투 번호 (2026)'!$B$2:$E$326,3,FALSE)</f>
        <v>#N/A</v>
      </c>
      <c r="G31" s="54" t="e">
        <f>VLOOKUP($D31,'헌금 봉투 번호 (2026)'!$B$2:$E$326,4,FALSE)</f>
        <v>#N/A</v>
      </c>
      <c r="H31" s="55"/>
      <c r="I31" s="13"/>
      <c r="J31" s="13"/>
      <c r="K31" s="11"/>
      <c r="L31" s="13"/>
      <c r="M31" s="13"/>
      <c r="N31" s="11"/>
      <c r="O31" s="13"/>
      <c r="P31" s="13"/>
      <c r="Q31" s="13"/>
      <c r="R31" s="13"/>
      <c r="S31" s="11"/>
      <c r="T31" s="11"/>
      <c r="U31" s="24"/>
      <c r="V31" s="64">
        <f t="shared" si="0"/>
        <v>0</v>
      </c>
    </row>
    <row r="32" spans="2:22" ht="17.100000000000001" customHeight="1" x14ac:dyDescent="0.4">
      <c r="B32" s="52">
        <v>46054</v>
      </c>
      <c r="C32" s="35">
        <v>2</v>
      </c>
      <c r="D32" s="53"/>
      <c r="E32" s="54" t="e">
        <f>VLOOKUP($D32,'헌금 봉투 번호 (2026)'!$B$2:$E$326,2,FALSE)</f>
        <v>#N/A</v>
      </c>
      <c r="F32" s="54" t="e">
        <f>VLOOKUP($D32,'헌금 봉투 번호 (2026)'!$B$2:$E$326,3,FALSE)</f>
        <v>#N/A</v>
      </c>
      <c r="G32" s="54" t="e">
        <f>VLOOKUP($D32,'헌금 봉투 번호 (2026)'!$B$2:$E$326,4,FALSE)</f>
        <v>#N/A</v>
      </c>
      <c r="H32" s="55"/>
      <c r="I32" s="13"/>
      <c r="J32" s="13"/>
      <c r="K32" s="11"/>
      <c r="L32" s="13"/>
      <c r="M32" s="13"/>
      <c r="N32" s="11"/>
      <c r="O32" s="13"/>
      <c r="P32" s="13"/>
      <c r="Q32" s="13"/>
      <c r="R32" s="13"/>
      <c r="S32" s="11"/>
      <c r="T32" s="11"/>
      <c r="U32" s="24"/>
      <c r="V32" s="64">
        <f t="shared" si="0"/>
        <v>0</v>
      </c>
    </row>
    <row r="33" spans="2:22" ht="17.100000000000001" customHeight="1" x14ac:dyDescent="0.4">
      <c r="B33" s="52">
        <v>46054</v>
      </c>
      <c r="C33" s="35">
        <v>2</v>
      </c>
      <c r="D33" s="53"/>
      <c r="E33" s="54" t="e">
        <f>VLOOKUP($D33,'헌금 봉투 번호 (2026)'!$B$2:$E$326,2,FALSE)</f>
        <v>#N/A</v>
      </c>
      <c r="F33" s="54" t="e">
        <f>VLOOKUP($D33,'헌금 봉투 번호 (2026)'!$B$2:$E$326,3,FALSE)</f>
        <v>#N/A</v>
      </c>
      <c r="G33" s="54" t="e">
        <f>VLOOKUP($D33,'헌금 봉투 번호 (2026)'!$B$2:$E$326,4,FALSE)</f>
        <v>#N/A</v>
      </c>
      <c r="H33" s="55"/>
      <c r="I33" s="13"/>
      <c r="J33" s="13"/>
      <c r="K33" s="11"/>
      <c r="L33" s="13"/>
      <c r="M33" s="13"/>
      <c r="N33" s="11"/>
      <c r="O33" s="13"/>
      <c r="P33" s="13"/>
      <c r="Q33" s="13"/>
      <c r="R33" s="13"/>
      <c r="S33" s="11"/>
      <c r="T33" s="11"/>
      <c r="U33" s="24"/>
      <c r="V33" s="64">
        <f t="shared" si="0"/>
        <v>0</v>
      </c>
    </row>
    <row r="34" spans="2:22" ht="17.100000000000001" customHeight="1" x14ac:dyDescent="0.4">
      <c r="B34" s="52">
        <v>46054</v>
      </c>
      <c r="C34" s="35">
        <v>2</v>
      </c>
      <c r="D34" s="53"/>
      <c r="E34" s="54" t="e">
        <f>VLOOKUP($D34,'헌금 봉투 번호 (2026)'!$B$2:$E$326,2,FALSE)</f>
        <v>#N/A</v>
      </c>
      <c r="F34" s="54" t="e">
        <f>VLOOKUP($D34,'헌금 봉투 번호 (2026)'!$B$2:$E$326,3,FALSE)</f>
        <v>#N/A</v>
      </c>
      <c r="G34" s="54" t="e">
        <f>VLOOKUP($D34,'헌금 봉투 번호 (2026)'!$B$2:$E$326,4,FALSE)</f>
        <v>#N/A</v>
      </c>
      <c r="H34" s="55"/>
      <c r="I34" s="13"/>
      <c r="J34" s="13"/>
      <c r="K34" s="11"/>
      <c r="L34" s="13"/>
      <c r="M34" s="13"/>
      <c r="N34" s="11"/>
      <c r="O34" s="13"/>
      <c r="P34" s="13"/>
      <c r="Q34" s="13"/>
      <c r="R34" s="13"/>
      <c r="S34" s="11"/>
      <c r="T34" s="11"/>
      <c r="U34" s="24"/>
      <c r="V34" s="64">
        <f t="shared" si="0"/>
        <v>0</v>
      </c>
    </row>
    <row r="35" spans="2:22" ht="17.100000000000001" customHeight="1" x14ac:dyDescent="0.4">
      <c r="B35" s="52">
        <v>46054</v>
      </c>
      <c r="C35" s="35">
        <v>2</v>
      </c>
      <c r="D35" s="53"/>
      <c r="E35" s="54" t="e">
        <f>VLOOKUP($D35,'헌금 봉투 번호 (2026)'!$B$2:$E$326,2,FALSE)</f>
        <v>#N/A</v>
      </c>
      <c r="F35" s="54" t="e">
        <f>VLOOKUP($D35,'헌금 봉투 번호 (2026)'!$B$2:$E$326,3,FALSE)</f>
        <v>#N/A</v>
      </c>
      <c r="G35" s="54" t="e">
        <f>VLOOKUP($D35,'헌금 봉투 번호 (2026)'!$B$2:$E$326,4,FALSE)</f>
        <v>#N/A</v>
      </c>
      <c r="H35" s="55"/>
      <c r="I35" s="13"/>
      <c r="J35" s="13"/>
      <c r="K35" s="11"/>
      <c r="L35" s="13"/>
      <c r="M35" s="13"/>
      <c r="N35" s="11"/>
      <c r="O35" s="13"/>
      <c r="P35" s="13"/>
      <c r="Q35" s="13"/>
      <c r="R35" s="13"/>
      <c r="S35" s="11"/>
      <c r="T35" s="11"/>
      <c r="U35" s="24"/>
      <c r="V35" s="64">
        <f t="shared" ref="V35:V66" si="1">SUM(I35:T35)</f>
        <v>0</v>
      </c>
    </row>
    <row r="36" spans="2:22" ht="17.100000000000001" customHeight="1" x14ac:dyDescent="0.4">
      <c r="B36" s="52">
        <v>46054</v>
      </c>
      <c r="C36" s="35">
        <v>2</v>
      </c>
      <c r="D36" s="53"/>
      <c r="E36" s="54" t="e">
        <f>VLOOKUP($D36,'헌금 봉투 번호 (2026)'!$B$2:$E$326,2,FALSE)</f>
        <v>#N/A</v>
      </c>
      <c r="F36" s="54" t="e">
        <f>VLOOKUP($D36,'헌금 봉투 번호 (2026)'!$B$2:$E$326,3,FALSE)</f>
        <v>#N/A</v>
      </c>
      <c r="G36" s="54" t="e">
        <f>VLOOKUP($D36,'헌금 봉투 번호 (2026)'!$B$2:$E$326,4,FALSE)</f>
        <v>#N/A</v>
      </c>
      <c r="H36" s="55"/>
      <c r="I36" s="13"/>
      <c r="J36" s="13"/>
      <c r="K36" s="11"/>
      <c r="L36" s="13"/>
      <c r="M36" s="13"/>
      <c r="N36" s="11"/>
      <c r="O36" s="13"/>
      <c r="P36" s="13"/>
      <c r="Q36" s="13"/>
      <c r="R36" s="13"/>
      <c r="S36" s="11"/>
      <c r="T36" s="11"/>
      <c r="U36" s="24"/>
      <c r="V36" s="64">
        <f t="shared" si="1"/>
        <v>0</v>
      </c>
    </row>
    <row r="37" spans="2:22" ht="17.100000000000001" customHeight="1" x14ac:dyDescent="0.4">
      <c r="B37" s="52">
        <v>46054</v>
      </c>
      <c r="C37" s="35">
        <v>2</v>
      </c>
      <c r="D37" s="53"/>
      <c r="E37" s="54" t="e">
        <f>VLOOKUP($D37,'헌금 봉투 번호 (2026)'!$B$2:$E$326,2,FALSE)</f>
        <v>#N/A</v>
      </c>
      <c r="F37" s="54" t="e">
        <f>VLOOKUP($D37,'헌금 봉투 번호 (2026)'!$B$2:$E$326,3,FALSE)</f>
        <v>#N/A</v>
      </c>
      <c r="G37" s="54" t="e">
        <f>VLOOKUP($D37,'헌금 봉투 번호 (2026)'!$B$2:$E$326,4,FALSE)</f>
        <v>#N/A</v>
      </c>
      <c r="H37" s="55"/>
      <c r="I37" s="13"/>
      <c r="J37" s="13"/>
      <c r="K37" s="11"/>
      <c r="L37" s="13"/>
      <c r="M37" s="13"/>
      <c r="N37" s="11"/>
      <c r="O37" s="13"/>
      <c r="P37" s="13"/>
      <c r="Q37" s="13"/>
      <c r="R37" s="13"/>
      <c r="S37" s="11"/>
      <c r="T37" s="11"/>
      <c r="U37" s="24"/>
      <c r="V37" s="64">
        <f t="shared" si="1"/>
        <v>0</v>
      </c>
    </row>
    <row r="38" spans="2:22" ht="17.100000000000001" customHeight="1" x14ac:dyDescent="0.4">
      <c r="B38" s="52">
        <v>46054</v>
      </c>
      <c r="C38" s="35">
        <v>2</v>
      </c>
      <c r="D38" s="53"/>
      <c r="E38" s="54" t="e">
        <f>VLOOKUP($D38,'헌금 봉투 번호 (2026)'!$B$2:$E$326,2,FALSE)</f>
        <v>#N/A</v>
      </c>
      <c r="F38" s="54" t="e">
        <f>VLOOKUP($D38,'헌금 봉투 번호 (2026)'!$B$2:$E$326,3,FALSE)</f>
        <v>#N/A</v>
      </c>
      <c r="G38" s="54" t="e">
        <f>VLOOKUP($D38,'헌금 봉투 번호 (2026)'!$B$2:$E$326,4,FALSE)</f>
        <v>#N/A</v>
      </c>
      <c r="H38" s="55"/>
      <c r="I38" s="13"/>
      <c r="J38" s="13"/>
      <c r="K38" s="11"/>
      <c r="L38" s="13"/>
      <c r="M38" s="13"/>
      <c r="N38" s="11"/>
      <c r="O38" s="13"/>
      <c r="P38" s="13"/>
      <c r="Q38" s="13"/>
      <c r="R38" s="13"/>
      <c r="S38" s="11"/>
      <c r="T38" s="11"/>
      <c r="U38" s="24"/>
      <c r="V38" s="64">
        <f t="shared" si="1"/>
        <v>0</v>
      </c>
    </row>
    <row r="39" spans="2:22" ht="17.100000000000001" customHeight="1" x14ac:dyDescent="0.4">
      <c r="B39" s="52">
        <v>46054</v>
      </c>
      <c r="C39" s="35">
        <v>2</v>
      </c>
      <c r="D39" s="53"/>
      <c r="E39" s="54" t="e">
        <f>VLOOKUP($D39,'헌금 봉투 번호 (2026)'!$B$2:$E$326,2,FALSE)</f>
        <v>#N/A</v>
      </c>
      <c r="F39" s="54" t="e">
        <f>VLOOKUP($D39,'헌금 봉투 번호 (2026)'!$B$2:$E$326,3,FALSE)</f>
        <v>#N/A</v>
      </c>
      <c r="G39" s="54" t="e">
        <f>VLOOKUP($D39,'헌금 봉투 번호 (2026)'!$B$2:$E$326,4,FALSE)</f>
        <v>#N/A</v>
      </c>
      <c r="H39" s="55"/>
      <c r="I39" s="13"/>
      <c r="J39" s="13"/>
      <c r="K39" s="11"/>
      <c r="L39" s="13"/>
      <c r="M39" s="13"/>
      <c r="N39" s="11"/>
      <c r="O39" s="13"/>
      <c r="P39" s="13"/>
      <c r="Q39" s="13"/>
      <c r="R39" s="13"/>
      <c r="S39" s="11"/>
      <c r="T39" s="11"/>
      <c r="U39" s="24"/>
      <c r="V39" s="64">
        <f t="shared" si="1"/>
        <v>0</v>
      </c>
    </row>
    <row r="40" spans="2:22" ht="17.100000000000001" customHeight="1" x14ac:dyDescent="0.4">
      <c r="B40" s="52">
        <v>46054</v>
      </c>
      <c r="C40" s="35">
        <v>2</v>
      </c>
      <c r="D40" s="53"/>
      <c r="E40" s="54" t="e">
        <f>VLOOKUP($D40,'헌금 봉투 번호 (2026)'!$B$2:$E$326,2,FALSE)</f>
        <v>#N/A</v>
      </c>
      <c r="F40" s="54" t="e">
        <f>VLOOKUP($D40,'헌금 봉투 번호 (2026)'!$B$2:$E$326,3,FALSE)</f>
        <v>#N/A</v>
      </c>
      <c r="G40" s="54" t="e">
        <f>VLOOKUP($D40,'헌금 봉투 번호 (2026)'!$B$2:$E$326,4,FALSE)</f>
        <v>#N/A</v>
      </c>
      <c r="H40" s="55"/>
      <c r="I40" s="13"/>
      <c r="J40" s="13"/>
      <c r="K40" s="11"/>
      <c r="L40" s="13"/>
      <c r="M40" s="13"/>
      <c r="N40" s="11"/>
      <c r="O40" s="13"/>
      <c r="P40" s="13"/>
      <c r="Q40" s="13"/>
      <c r="R40" s="13"/>
      <c r="S40" s="11"/>
      <c r="T40" s="11"/>
      <c r="U40" s="24"/>
      <c r="V40" s="64">
        <f t="shared" si="1"/>
        <v>0</v>
      </c>
    </row>
    <row r="41" spans="2:22" ht="17.100000000000001" customHeight="1" x14ac:dyDescent="0.4">
      <c r="B41" s="52">
        <v>46054</v>
      </c>
      <c r="C41" s="35">
        <v>2</v>
      </c>
      <c r="D41" s="53"/>
      <c r="E41" s="54" t="e">
        <f>VLOOKUP($D41,'헌금 봉투 번호 (2026)'!$B$2:$E$326,2,FALSE)</f>
        <v>#N/A</v>
      </c>
      <c r="F41" s="54" t="e">
        <f>VLOOKUP($D41,'헌금 봉투 번호 (2026)'!$B$2:$E$326,3,FALSE)</f>
        <v>#N/A</v>
      </c>
      <c r="G41" s="54" t="e">
        <f>VLOOKUP($D41,'헌금 봉투 번호 (2026)'!$B$2:$E$326,4,FALSE)</f>
        <v>#N/A</v>
      </c>
      <c r="H41" s="55"/>
      <c r="I41" s="13"/>
      <c r="J41" s="13"/>
      <c r="K41" s="11"/>
      <c r="L41" s="13"/>
      <c r="M41" s="13"/>
      <c r="N41" s="11"/>
      <c r="O41" s="13"/>
      <c r="P41" s="13"/>
      <c r="Q41" s="13"/>
      <c r="R41" s="13"/>
      <c r="S41" s="11"/>
      <c r="T41" s="11"/>
      <c r="U41" s="24"/>
      <c r="V41" s="64">
        <f t="shared" si="1"/>
        <v>0</v>
      </c>
    </row>
    <row r="42" spans="2:22" ht="17.100000000000001" customHeight="1" x14ac:dyDescent="0.4">
      <c r="B42" s="52">
        <v>46054</v>
      </c>
      <c r="C42" s="35">
        <v>2</v>
      </c>
      <c r="D42" s="53"/>
      <c r="E42" s="54" t="e">
        <f>VLOOKUP($D42,'헌금 봉투 번호 (2026)'!$B$2:$E$326,2,FALSE)</f>
        <v>#N/A</v>
      </c>
      <c r="F42" s="54" t="e">
        <f>VLOOKUP($D42,'헌금 봉투 번호 (2026)'!$B$2:$E$326,3,FALSE)</f>
        <v>#N/A</v>
      </c>
      <c r="G42" s="54" t="e">
        <f>VLOOKUP($D42,'헌금 봉투 번호 (2026)'!$B$2:$E$326,4,FALSE)</f>
        <v>#N/A</v>
      </c>
      <c r="H42" s="55"/>
      <c r="I42" s="13"/>
      <c r="J42" s="13"/>
      <c r="K42" s="11"/>
      <c r="L42" s="13"/>
      <c r="M42" s="13"/>
      <c r="N42" s="11"/>
      <c r="O42" s="13"/>
      <c r="P42" s="13"/>
      <c r="Q42" s="13"/>
      <c r="R42" s="13"/>
      <c r="S42" s="11"/>
      <c r="T42" s="24"/>
      <c r="U42" s="24"/>
      <c r="V42" s="64">
        <f t="shared" si="1"/>
        <v>0</v>
      </c>
    </row>
    <row r="43" spans="2:22" ht="17.100000000000001" customHeight="1" x14ac:dyDescent="0.4">
      <c r="B43" s="52">
        <v>46054</v>
      </c>
      <c r="C43" s="35">
        <v>2</v>
      </c>
      <c r="D43" s="53"/>
      <c r="E43" s="54" t="e">
        <f>VLOOKUP($D43,'헌금 봉투 번호 (2026)'!$B$2:$E$326,2,FALSE)</f>
        <v>#N/A</v>
      </c>
      <c r="F43" s="54" t="e">
        <f>VLOOKUP($D43,'헌금 봉투 번호 (2026)'!$B$2:$E$326,3,FALSE)</f>
        <v>#N/A</v>
      </c>
      <c r="G43" s="54" t="e">
        <f>VLOOKUP($D43,'헌금 봉투 번호 (2026)'!$B$2:$E$326,4,FALSE)</f>
        <v>#N/A</v>
      </c>
      <c r="H43" s="55"/>
      <c r="I43" s="13"/>
      <c r="J43" s="13"/>
      <c r="K43" s="11"/>
      <c r="L43" s="13"/>
      <c r="M43" s="13"/>
      <c r="N43" s="11"/>
      <c r="O43" s="13"/>
      <c r="P43" s="13"/>
      <c r="Q43" s="13"/>
      <c r="R43" s="13"/>
      <c r="S43" s="11"/>
      <c r="T43" s="11"/>
      <c r="U43" s="24"/>
      <c r="V43" s="64">
        <f t="shared" si="1"/>
        <v>0</v>
      </c>
    </row>
    <row r="44" spans="2:22" ht="17.100000000000001" customHeight="1" x14ac:dyDescent="0.4">
      <c r="B44" s="52">
        <v>46054</v>
      </c>
      <c r="C44" s="35">
        <v>2</v>
      </c>
      <c r="D44" s="53"/>
      <c r="E44" s="54" t="e">
        <f>VLOOKUP($D44,'헌금 봉투 번호 (2026)'!$B$2:$E$326,2,FALSE)</f>
        <v>#N/A</v>
      </c>
      <c r="F44" s="54" t="e">
        <f>VLOOKUP($D44,'헌금 봉투 번호 (2026)'!$B$2:$E$326,3,FALSE)</f>
        <v>#N/A</v>
      </c>
      <c r="G44" s="54" t="e">
        <f>VLOOKUP($D44,'헌금 봉투 번호 (2026)'!$B$2:$E$326,4,FALSE)</f>
        <v>#N/A</v>
      </c>
      <c r="H44" s="55"/>
      <c r="I44" s="13"/>
      <c r="J44" s="13"/>
      <c r="K44" s="11"/>
      <c r="L44" s="13"/>
      <c r="M44" s="13"/>
      <c r="N44" s="11"/>
      <c r="O44" s="13"/>
      <c r="P44" s="13"/>
      <c r="Q44" s="13"/>
      <c r="R44" s="13"/>
      <c r="S44" s="11"/>
      <c r="T44" s="11"/>
      <c r="U44" s="24"/>
      <c r="V44" s="64">
        <f t="shared" si="1"/>
        <v>0</v>
      </c>
    </row>
    <row r="45" spans="2:22" ht="17.100000000000001" customHeight="1" x14ac:dyDescent="0.4">
      <c r="B45" s="52">
        <v>46054</v>
      </c>
      <c r="C45" s="35">
        <v>2</v>
      </c>
      <c r="D45" s="53"/>
      <c r="E45" s="54" t="e">
        <f>VLOOKUP($D45,'헌금 봉투 번호 (2026)'!$B$2:$E$326,2,FALSE)</f>
        <v>#N/A</v>
      </c>
      <c r="F45" s="54" t="e">
        <f>VLOOKUP($D45,'헌금 봉투 번호 (2026)'!$B$2:$E$326,3,FALSE)</f>
        <v>#N/A</v>
      </c>
      <c r="G45" s="54" t="e">
        <f>VLOOKUP($D45,'헌금 봉투 번호 (2026)'!$B$2:$E$326,4,FALSE)</f>
        <v>#N/A</v>
      </c>
      <c r="H45" s="55"/>
      <c r="I45" s="13"/>
      <c r="J45" s="13"/>
      <c r="K45" s="11"/>
      <c r="L45" s="13"/>
      <c r="M45" s="13"/>
      <c r="N45" s="11"/>
      <c r="O45" s="13"/>
      <c r="P45" s="13"/>
      <c r="Q45" s="13"/>
      <c r="R45" s="13"/>
      <c r="S45" s="11"/>
      <c r="T45" s="11"/>
      <c r="U45" s="24"/>
      <c r="V45" s="64">
        <f t="shared" si="1"/>
        <v>0</v>
      </c>
    </row>
    <row r="46" spans="2:22" ht="17.100000000000001" customHeight="1" x14ac:dyDescent="0.4">
      <c r="B46" s="52">
        <v>46054</v>
      </c>
      <c r="C46" s="35">
        <v>2</v>
      </c>
      <c r="D46" s="53"/>
      <c r="E46" s="54" t="e">
        <f>VLOOKUP($D46,'헌금 봉투 번호 (2026)'!$B$2:$E$326,2,FALSE)</f>
        <v>#N/A</v>
      </c>
      <c r="F46" s="54" t="e">
        <f>VLOOKUP($D46,'헌금 봉투 번호 (2026)'!$B$2:$E$326,3,FALSE)</f>
        <v>#N/A</v>
      </c>
      <c r="G46" s="54" t="e">
        <f>VLOOKUP($D46,'헌금 봉투 번호 (2026)'!$B$2:$E$326,4,FALSE)</f>
        <v>#N/A</v>
      </c>
      <c r="H46" s="55"/>
      <c r="I46" s="13"/>
      <c r="J46" s="13"/>
      <c r="K46" s="11"/>
      <c r="L46" s="13"/>
      <c r="M46" s="13"/>
      <c r="N46" s="11"/>
      <c r="O46" s="13"/>
      <c r="P46" s="13"/>
      <c r="Q46" s="13"/>
      <c r="R46" s="13"/>
      <c r="S46" s="11"/>
      <c r="T46" s="11"/>
      <c r="U46" s="24"/>
      <c r="V46" s="64">
        <f t="shared" si="1"/>
        <v>0</v>
      </c>
    </row>
    <row r="47" spans="2:22" ht="17.100000000000001" customHeight="1" x14ac:dyDescent="0.4">
      <c r="B47" s="52">
        <v>46054</v>
      </c>
      <c r="C47" s="35">
        <v>2</v>
      </c>
      <c r="D47" s="53"/>
      <c r="E47" s="54" t="e">
        <f>VLOOKUP($D47,'헌금 봉투 번호 (2026)'!$B$2:$E$326,2,FALSE)</f>
        <v>#N/A</v>
      </c>
      <c r="F47" s="54" t="e">
        <f>VLOOKUP($D47,'헌금 봉투 번호 (2026)'!$B$2:$E$326,3,FALSE)</f>
        <v>#N/A</v>
      </c>
      <c r="G47" s="54" t="e">
        <f>VLOOKUP($D47,'헌금 봉투 번호 (2026)'!$B$2:$E$326,4,FALSE)</f>
        <v>#N/A</v>
      </c>
      <c r="H47" s="55"/>
      <c r="I47" s="13"/>
      <c r="J47" s="13"/>
      <c r="K47" s="11"/>
      <c r="L47" s="13"/>
      <c r="M47" s="13"/>
      <c r="N47" s="11"/>
      <c r="O47" s="13"/>
      <c r="P47" s="13"/>
      <c r="Q47" s="13"/>
      <c r="R47" s="13"/>
      <c r="S47" s="11"/>
      <c r="T47" s="11"/>
      <c r="U47" s="24"/>
      <c r="V47" s="64">
        <f t="shared" si="1"/>
        <v>0</v>
      </c>
    </row>
    <row r="48" spans="2:22" ht="17.100000000000001" customHeight="1" x14ac:dyDescent="0.4">
      <c r="B48" s="52">
        <v>46054</v>
      </c>
      <c r="C48" s="35">
        <v>2</v>
      </c>
      <c r="D48" s="53"/>
      <c r="E48" s="54" t="e">
        <f>VLOOKUP($D48,'헌금 봉투 번호 (2026)'!$B$2:$E$326,2,FALSE)</f>
        <v>#N/A</v>
      </c>
      <c r="F48" s="54" t="e">
        <f>VLOOKUP($D48,'헌금 봉투 번호 (2026)'!$B$2:$E$326,3,FALSE)</f>
        <v>#N/A</v>
      </c>
      <c r="G48" s="54" t="e">
        <f>VLOOKUP($D48,'헌금 봉투 번호 (2026)'!$B$2:$E$326,4,FALSE)</f>
        <v>#N/A</v>
      </c>
      <c r="H48" s="55"/>
      <c r="I48" s="13"/>
      <c r="J48" s="13"/>
      <c r="K48" s="11"/>
      <c r="L48" s="13"/>
      <c r="M48" s="13"/>
      <c r="N48" s="11"/>
      <c r="O48" s="13"/>
      <c r="P48" s="13"/>
      <c r="Q48" s="13"/>
      <c r="R48" s="13"/>
      <c r="S48" s="11"/>
      <c r="T48" s="11"/>
      <c r="U48" s="24"/>
      <c r="V48" s="64">
        <f t="shared" si="1"/>
        <v>0</v>
      </c>
    </row>
    <row r="49" spans="2:22" ht="17.100000000000001" customHeight="1" x14ac:dyDescent="0.4">
      <c r="B49" s="52">
        <v>46054</v>
      </c>
      <c r="C49" s="35">
        <v>2</v>
      </c>
      <c r="D49" s="53"/>
      <c r="E49" s="54" t="e">
        <f>VLOOKUP($D49,'헌금 봉투 번호 (2026)'!$B$2:$E$326,2,FALSE)</f>
        <v>#N/A</v>
      </c>
      <c r="F49" s="54" t="e">
        <f>VLOOKUP($D49,'헌금 봉투 번호 (2026)'!$B$2:$E$326,3,FALSE)</f>
        <v>#N/A</v>
      </c>
      <c r="G49" s="54" t="e">
        <f>VLOOKUP($D49,'헌금 봉투 번호 (2026)'!$B$2:$E$326,4,FALSE)</f>
        <v>#N/A</v>
      </c>
      <c r="H49" s="55"/>
      <c r="I49" s="13"/>
      <c r="J49" s="13"/>
      <c r="K49" s="11"/>
      <c r="L49" s="13"/>
      <c r="M49" s="13"/>
      <c r="N49" s="11"/>
      <c r="O49" s="13"/>
      <c r="P49" s="13"/>
      <c r="Q49" s="13"/>
      <c r="R49" s="13"/>
      <c r="S49" s="11"/>
      <c r="T49" s="11"/>
      <c r="U49" s="24"/>
      <c r="V49" s="64">
        <f t="shared" si="1"/>
        <v>0</v>
      </c>
    </row>
    <row r="50" spans="2:22" ht="17.100000000000001" customHeight="1" x14ac:dyDescent="0.4">
      <c r="B50" s="52">
        <v>46054</v>
      </c>
      <c r="C50" s="35">
        <v>2</v>
      </c>
      <c r="D50" s="53"/>
      <c r="E50" s="54" t="e">
        <f>VLOOKUP($D50,'헌금 봉투 번호 (2026)'!$B$2:$E$326,2,FALSE)</f>
        <v>#N/A</v>
      </c>
      <c r="F50" s="54" t="e">
        <f>VLOOKUP($D50,'헌금 봉투 번호 (2026)'!$B$2:$E$326,3,FALSE)</f>
        <v>#N/A</v>
      </c>
      <c r="G50" s="54" t="e">
        <f>VLOOKUP($D50,'헌금 봉투 번호 (2026)'!$B$2:$E$326,4,FALSE)</f>
        <v>#N/A</v>
      </c>
      <c r="H50" s="55"/>
      <c r="I50" s="13"/>
      <c r="J50" s="13"/>
      <c r="K50" s="11"/>
      <c r="L50" s="13"/>
      <c r="M50" s="13"/>
      <c r="N50" s="11"/>
      <c r="O50" s="13"/>
      <c r="P50" s="13"/>
      <c r="Q50" s="13"/>
      <c r="R50" s="13"/>
      <c r="S50" s="11"/>
      <c r="T50" s="11"/>
      <c r="U50" s="24"/>
      <c r="V50" s="64">
        <f t="shared" si="1"/>
        <v>0</v>
      </c>
    </row>
    <row r="51" spans="2:22" ht="17.100000000000001" customHeight="1" x14ac:dyDescent="0.4">
      <c r="B51" s="52">
        <v>46054</v>
      </c>
      <c r="C51" s="35">
        <v>2</v>
      </c>
      <c r="D51" s="53"/>
      <c r="E51" s="54" t="e">
        <f>VLOOKUP($D51,'헌금 봉투 번호 (2026)'!$B$2:$E$326,2,FALSE)</f>
        <v>#N/A</v>
      </c>
      <c r="F51" s="54" t="e">
        <f>VLOOKUP($D51,'헌금 봉투 번호 (2026)'!$B$2:$E$326,3,FALSE)</f>
        <v>#N/A</v>
      </c>
      <c r="G51" s="54" t="e">
        <f>VLOOKUP($D51,'헌금 봉투 번호 (2026)'!$B$2:$E$326,4,FALSE)</f>
        <v>#N/A</v>
      </c>
      <c r="H51" s="55"/>
      <c r="I51" s="13"/>
      <c r="J51" s="13"/>
      <c r="K51" s="11"/>
      <c r="L51" s="13"/>
      <c r="M51" s="13"/>
      <c r="N51" s="11"/>
      <c r="O51" s="13"/>
      <c r="P51" s="13"/>
      <c r="Q51" s="13"/>
      <c r="R51" s="13"/>
      <c r="S51" s="11"/>
      <c r="T51" s="11"/>
      <c r="U51" s="24"/>
      <c r="V51" s="64">
        <f t="shared" si="1"/>
        <v>0</v>
      </c>
    </row>
    <row r="52" spans="2:22" ht="17.100000000000001" customHeight="1" x14ac:dyDescent="0.4">
      <c r="B52" s="52">
        <v>46054</v>
      </c>
      <c r="C52" s="35">
        <v>2</v>
      </c>
      <c r="D52" s="53"/>
      <c r="E52" s="54" t="e">
        <f>VLOOKUP($D52,'헌금 봉투 번호 (2026)'!$B$2:$E$326,2,FALSE)</f>
        <v>#N/A</v>
      </c>
      <c r="F52" s="54" t="e">
        <f>VLOOKUP($D52,'헌금 봉투 번호 (2026)'!$B$2:$E$326,3,FALSE)</f>
        <v>#N/A</v>
      </c>
      <c r="G52" s="54" t="e">
        <f>VLOOKUP($D52,'헌금 봉투 번호 (2026)'!$B$2:$E$326,4,FALSE)</f>
        <v>#N/A</v>
      </c>
      <c r="H52" s="55"/>
      <c r="I52" s="13"/>
      <c r="J52" s="13"/>
      <c r="K52" s="11"/>
      <c r="L52" s="13"/>
      <c r="M52" s="13"/>
      <c r="N52" s="11"/>
      <c r="O52" s="13"/>
      <c r="P52" s="13"/>
      <c r="Q52" s="13"/>
      <c r="R52" s="13"/>
      <c r="S52" s="11"/>
      <c r="T52" s="11"/>
      <c r="U52" s="24"/>
      <c r="V52" s="64">
        <f t="shared" si="1"/>
        <v>0</v>
      </c>
    </row>
    <row r="53" spans="2:22" ht="17.100000000000001" customHeight="1" x14ac:dyDescent="0.4">
      <c r="B53" s="52">
        <v>46054</v>
      </c>
      <c r="C53" s="35">
        <v>2</v>
      </c>
      <c r="D53" s="53"/>
      <c r="E53" s="54" t="e">
        <f>VLOOKUP($D53,'헌금 봉투 번호 (2026)'!$B$2:$E$326,2,FALSE)</f>
        <v>#N/A</v>
      </c>
      <c r="F53" s="54" t="e">
        <f>VLOOKUP($D53,'헌금 봉투 번호 (2026)'!$B$2:$E$326,3,FALSE)</f>
        <v>#N/A</v>
      </c>
      <c r="G53" s="54" t="e">
        <f>VLOOKUP($D53,'헌금 봉투 번호 (2026)'!$B$2:$E$326,4,FALSE)</f>
        <v>#N/A</v>
      </c>
      <c r="H53" s="55"/>
      <c r="I53" s="13"/>
      <c r="J53" s="13"/>
      <c r="K53" s="11"/>
      <c r="L53" s="13"/>
      <c r="M53" s="13"/>
      <c r="N53" s="11"/>
      <c r="O53" s="13"/>
      <c r="P53" s="13"/>
      <c r="Q53" s="13"/>
      <c r="R53" s="13"/>
      <c r="S53" s="11"/>
      <c r="T53" s="11"/>
      <c r="U53" s="24"/>
      <c r="V53" s="64">
        <f t="shared" si="1"/>
        <v>0</v>
      </c>
    </row>
    <row r="54" spans="2:22" ht="17.100000000000001" customHeight="1" x14ac:dyDescent="0.4">
      <c r="B54" s="52">
        <v>46054</v>
      </c>
      <c r="C54" s="35">
        <v>2</v>
      </c>
      <c r="D54" s="53"/>
      <c r="E54" s="97" t="e">
        <f>VLOOKUP($D54,'헌금 봉투 번호 (2026)'!$B$2:$E$326,2,FALSE)</f>
        <v>#N/A</v>
      </c>
      <c r="F54" s="54" t="e">
        <f>VLOOKUP($D54,'헌금 봉투 번호 (2026)'!$B$2:$E$326,3,FALSE)</f>
        <v>#N/A</v>
      </c>
      <c r="G54" s="54" t="e">
        <f>VLOOKUP($D54,'헌금 봉투 번호 (2026)'!$B$2:$E$326,4,FALSE)</f>
        <v>#N/A</v>
      </c>
      <c r="H54" s="55"/>
      <c r="I54" s="13"/>
      <c r="J54" s="13"/>
      <c r="K54" s="11"/>
      <c r="L54" s="13"/>
      <c r="M54" s="13"/>
      <c r="N54" s="11"/>
      <c r="O54" s="13"/>
      <c r="P54" s="13"/>
      <c r="Q54" s="13"/>
      <c r="R54" s="13"/>
      <c r="S54" s="11"/>
      <c r="T54" s="11"/>
      <c r="U54" s="24"/>
      <c r="V54" s="64">
        <f t="shared" si="1"/>
        <v>0</v>
      </c>
    </row>
    <row r="55" spans="2:22" ht="17.100000000000001" customHeight="1" x14ac:dyDescent="0.4">
      <c r="B55" s="52">
        <v>46054</v>
      </c>
      <c r="C55" s="35">
        <v>2</v>
      </c>
      <c r="D55" s="53"/>
      <c r="E55" s="55" t="e">
        <f>VLOOKUP($D55,'헌금 봉투 번호 (2026)'!$B$2:$E$326,2,FALSE)</f>
        <v>#N/A</v>
      </c>
      <c r="F55" s="54" t="e">
        <f>VLOOKUP($D55,'헌금 봉투 번호 (2026)'!$B$2:$E$326,3,FALSE)</f>
        <v>#N/A</v>
      </c>
      <c r="G55" s="54" t="e">
        <f>VLOOKUP($D55,'헌금 봉투 번호 (2026)'!$B$2:$E$326,4,FALSE)</f>
        <v>#N/A</v>
      </c>
      <c r="H55" s="55"/>
      <c r="I55" s="13"/>
      <c r="J55" s="13"/>
      <c r="K55" s="11"/>
      <c r="L55" s="13"/>
      <c r="M55" s="13"/>
      <c r="N55" s="11"/>
      <c r="O55" s="13"/>
      <c r="P55" s="13"/>
      <c r="Q55" s="13"/>
      <c r="R55" s="13"/>
      <c r="S55" s="11"/>
      <c r="T55" s="11"/>
      <c r="U55" s="24"/>
      <c r="V55" s="64">
        <f t="shared" si="1"/>
        <v>0</v>
      </c>
    </row>
    <row r="56" spans="2:22" ht="17.100000000000001" customHeight="1" x14ac:dyDescent="0.4">
      <c r="B56" s="52">
        <v>46054</v>
      </c>
      <c r="C56" s="35">
        <v>2</v>
      </c>
      <c r="D56" s="53"/>
      <c r="E56" s="55" t="e">
        <f>VLOOKUP($D56,'헌금 봉투 번호 (2026)'!$B$2:$E$326,2,FALSE)</f>
        <v>#N/A</v>
      </c>
      <c r="F56" s="54" t="e">
        <f>VLOOKUP($D56,'헌금 봉투 번호 (2026)'!$B$2:$E$326,3,FALSE)</f>
        <v>#N/A</v>
      </c>
      <c r="G56" s="54" t="e">
        <f>VLOOKUP($D56,'헌금 봉투 번호 (2026)'!$B$2:$E$326,4,FALSE)</f>
        <v>#N/A</v>
      </c>
      <c r="H56" s="55"/>
      <c r="I56" s="13"/>
      <c r="J56" s="13"/>
      <c r="K56" s="11"/>
      <c r="L56" s="13"/>
      <c r="M56" s="13"/>
      <c r="N56" s="11"/>
      <c r="O56" s="13"/>
      <c r="P56" s="13"/>
      <c r="Q56" s="13"/>
      <c r="R56" s="13"/>
      <c r="S56" s="11"/>
      <c r="T56" s="11"/>
      <c r="U56" s="24"/>
      <c r="V56" s="64">
        <f t="shared" si="1"/>
        <v>0</v>
      </c>
    </row>
    <row r="57" spans="2:22" ht="17.100000000000001" customHeight="1" x14ac:dyDescent="0.4">
      <c r="B57" s="52">
        <v>46054</v>
      </c>
      <c r="C57" s="35">
        <v>2</v>
      </c>
      <c r="D57" s="53"/>
      <c r="E57" s="55" t="e">
        <f>VLOOKUP($D57,'헌금 봉투 번호 (2026)'!$B$2:$E$326,2,FALSE)</f>
        <v>#N/A</v>
      </c>
      <c r="F57" s="54" t="e">
        <f>VLOOKUP($D57,'헌금 봉투 번호 (2026)'!$B$2:$E$326,3,FALSE)</f>
        <v>#N/A</v>
      </c>
      <c r="G57" s="54" t="e">
        <f>VLOOKUP($D57,'헌금 봉투 번호 (2026)'!$B$2:$E$326,4,FALSE)</f>
        <v>#N/A</v>
      </c>
      <c r="H57" s="55"/>
      <c r="I57" s="13"/>
      <c r="J57" s="13"/>
      <c r="K57" s="11"/>
      <c r="L57" s="13"/>
      <c r="M57" s="13"/>
      <c r="N57" s="11"/>
      <c r="O57" s="13"/>
      <c r="P57" s="13"/>
      <c r="Q57" s="13"/>
      <c r="R57" s="13"/>
      <c r="S57" s="11"/>
      <c r="T57" s="11"/>
      <c r="U57" s="24"/>
      <c r="V57" s="64">
        <f t="shared" si="1"/>
        <v>0</v>
      </c>
    </row>
    <row r="58" spans="2:22" ht="17.100000000000001" customHeight="1" x14ac:dyDescent="0.4">
      <c r="B58" s="52">
        <v>46054</v>
      </c>
      <c r="C58" s="35">
        <v>2</v>
      </c>
      <c r="D58" s="53"/>
      <c r="E58" s="97" t="e">
        <f>VLOOKUP($D58,'헌금 봉투 번호 (2026)'!$B$2:$E$326,2,FALSE)</f>
        <v>#N/A</v>
      </c>
      <c r="F58" s="54" t="e">
        <f>VLOOKUP($D58,'헌금 봉투 번호 (2026)'!$B$2:$E$326,3,FALSE)</f>
        <v>#N/A</v>
      </c>
      <c r="G58" s="54" t="e">
        <f>VLOOKUP($D58,'헌금 봉투 번호 (2026)'!$B$2:$E$326,4,FALSE)</f>
        <v>#N/A</v>
      </c>
      <c r="H58" s="55"/>
      <c r="I58" s="13"/>
      <c r="J58" s="10"/>
      <c r="K58" s="11"/>
      <c r="L58" s="13"/>
      <c r="M58" s="13"/>
      <c r="N58" s="11"/>
      <c r="O58" s="13"/>
      <c r="P58" s="13"/>
      <c r="Q58" s="13"/>
      <c r="R58" s="13"/>
      <c r="S58" s="11"/>
      <c r="T58" s="11"/>
      <c r="U58" s="97"/>
      <c r="V58" s="64">
        <f t="shared" si="1"/>
        <v>0</v>
      </c>
    </row>
    <row r="59" spans="2:22" ht="17.100000000000001" customHeight="1" x14ac:dyDescent="0.4">
      <c r="B59" s="52">
        <v>46054</v>
      </c>
      <c r="C59" s="35">
        <v>2</v>
      </c>
      <c r="D59" s="53"/>
      <c r="E59" s="54" t="e">
        <f>VLOOKUP($D59,'헌금 봉투 번호 (2026)'!$B$2:$E$326,2,FALSE)</f>
        <v>#N/A</v>
      </c>
      <c r="F59" s="54" t="e">
        <f>VLOOKUP($D59,'헌금 봉투 번호 (2026)'!$B$2:$E$326,3,FALSE)</f>
        <v>#N/A</v>
      </c>
      <c r="G59" s="54" t="e">
        <f>VLOOKUP($D59,'헌금 봉투 번호 (2026)'!$B$2:$E$326,4,FALSE)</f>
        <v>#N/A</v>
      </c>
      <c r="H59" s="55" t="s">
        <v>428</v>
      </c>
      <c r="I59" s="10"/>
      <c r="J59" s="10"/>
      <c r="K59" s="11"/>
      <c r="L59" s="10"/>
      <c r="M59" s="10"/>
      <c r="N59" s="12"/>
      <c r="O59" s="10"/>
      <c r="P59" s="10"/>
      <c r="Q59" s="10"/>
      <c r="R59" s="10"/>
      <c r="S59" s="11"/>
      <c r="T59" s="12"/>
      <c r="U59" s="24"/>
      <c r="V59" s="64">
        <f t="shared" si="1"/>
        <v>0</v>
      </c>
    </row>
    <row r="60" spans="2:22" ht="17.100000000000001" customHeight="1" x14ac:dyDescent="0.4">
      <c r="B60" s="52">
        <v>46054</v>
      </c>
      <c r="C60" s="35">
        <v>2</v>
      </c>
      <c r="D60" s="53"/>
      <c r="E60" s="54" t="e">
        <f>VLOOKUP($D60,'헌금 봉투 번호 (2026)'!$B$2:$E$326,2,FALSE)</f>
        <v>#N/A</v>
      </c>
      <c r="F60" s="54" t="e">
        <f>VLOOKUP($D60,'헌금 봉투 번호 (2026)'!$B$2:$E$326,3,FALSE)</f>
        <v>#N/A</v>
      </c>
      <c r="G60" s="54" t="e">
        <f>VLOOKUP($D60,'헌금 봉투 번호 (2026)'!$B$2:$E$326,4,FALSE)</f>
        <v>#N/A</v>
      </c>
      <c r="H60" s="55" t="s">
        <v>428</v>
      </c>
      <c r="I60" s="13"/>
      <c r="J60" s="13"/>
      <c r="K60" s="11"/>
      <c r="L60" s="13"/>
      <c r="M60" s="13"/>
      <c r="N60" s="11"/>
      <c r="O60" s="11"/>
      <c r="P60" s="11"/>
      <c r="Q60" s="11"/>
      <c r="R60" s="13"/>
      <c r="S60" s="13"/>
      <c r="T60" s="11"/>
      <c r="U60" s="24"/>
      <c r="V60" s="64">
        <f t="shared" si="1"/>
        <v>0</v>
      </c>
    </row>
    <row r="61" spans="2:22" ht="17.100000000000001" customHeight="1" x14ac:dyDescent="0.4">
      <c r="B61" s="52">
        <v>46054</v>
      </c>
      <c r="C61" s="35">
        <v>2</v>
      </c>
      <c r="D61" s="53"/>
      <c r="E61" s="54" t="e">
        <f>VLOOKUP($D61,'헌금 봉투 번호 (2026)'!$B$2:$E$326,2,FALSE)</f>
        <v>#N/A</v>
      </c>
      <c r="F61" s="54" t="e">
        <f>VLOOKUP($D61,'헌금 봉투 번호 (2026)'!$B$2:$E$326,3,FALSE)</f>
        <v>#N/A</v>
      </c>
      <c r="G61" s="54" t="e">
        <f>VLOOKUP($D61,'헌금 봉투 번호 (2026)'!$B$2:$E$326,4,FALSE)</f>
        <v>#N/A</v>
      </c>
      <c r="H61" s="55" t="s">
        <v>428</v>
      </c>
      <c r="I61" s="13"/>
      <c r="J61" s="13"/>
      <c r="K61" s="11"/>
      <c r="L61" s="13"/>
      <c r="M61" s="13"/>
      <c r="N61" s="11"/>
      <c r="O61" s="13"/>
      <c r="P61" s="13"/>
      <c r="Q61" s="13"/>
      <c r="R61" s="13"/>
      <c r="S61" s="11"/>
      <c r="T61" s="11"/>
      <c r="U61" s="24"/>
      <c r="V61" s="64">
        <f t="shared" si="1"/>
        <v>0</v>
      </c>
    </row>
    <row r="62" spans="2:22" ht="17.100000000000001" customHeight="1" x14ac:dyDescent="0.4">
      <c r="B62" s="52">
        <v>46054</v>
      </c>
      <c r="C62" s="35">
        <v>2</v>
      </c>
      <c r="D62" s="53"/>
      <c r="E62" s="54" t="e">
        <f>VLOOKUP($D62,'헌금 봉투 번호 (2026)'!$B$2:$E$326,2,FALSE)</f>
        <v>#N/A</v>
      </c>
      <c r="F62" s="54" t="e">
        <f>VLOOKUP($D62,'헌금 봉투 번호 (2026)'!$B$2:$E$326,3,FALSE)</f>
        <v>#N/A</v>
      </c>
      <c r="G62" s="54" t="e">
        <f>VLOOKUP($D62,'헌금 봉투 번호 (2026)'!$B$2:$E$326,4,FALSE)</f>
        <v>#N/A</v>
      </c>
      <c r="H62" s="55" t="s">
        <v>428</v>
      </c>
      <c r="I62" s="13"/>
      <c r="J62" s="13"/>
      <c r="K62" s="11"/>
      <c r="L62" s="13"/>
      <c r="M62" s="13"/>
      <c r="N62" s="11"/>
      <c r="O62" s="54"/>
      <c r="P62" s="13"/>
      <c r="Q62" s="13"/>
      <c r="R62" s="13"/>
      <c r="S62" s="11"/>
      <c r="T62" s="11"/>
      <c r="U62" s="54"/>
      <c r="V62" s="64">
        <f t="shared" si="1"/>
        <v>0</v>
      </c>
    </row>
    <row r="63" spans="2:22" ht="17.100000000000001" customHeight="1" x14ac:dyDescent="0.4">
      <c r="B63" s="52">
        <v>46054</v>
      </c>
      <c r="C63" s="35">
        <v>2</v>
      </c>
      <c r="D63" s="53"/>
      <c r="E63" s="54" t="e">
        <f>VLOOKUP($D63,'헌금 봉투 번호 (2026)'!$B$2:$E$326,2,FALSE)</f>
        <v>#N/A</v>
      </c>
      <c r="F63" s="54" t="e">
        <f>VLOOKUP($D63,'헌금 봉투 번호 (2026)'!$B$2:$E$326,3,FALSE)</f>
        <v>#N/A</v>
      </c>
      <c r="G63" s="54" t="e">
        <f>VLOOKUP($D63,'헌금 봉투 번호 (2026)'!$B$2:$E$326,4,FALSE)</f>
        <v>#N/A</v>
      </c>
      <c r="H63" s="55" t="s">
        <v>428</v>
      </c>
      <c r="I63" s="13"/>
      <c r="J63" s="13"/>
      <c r="K63" s="11"/>
      <c r="L63" s="13"/>
      <c r="M63" s="13"/>
      <c r="N63" s="11"/>
      <c r="O63" s="13"/>
      <c r="P63" s="13"/>
      <c r="Q63" s="13"/>
      <c r="R63" s="13"/>
      <c r="S63" s="11"/>
      <c r="T63" s="11"/>
      <c r="U63" s="24"/>
      <c r="V63" s="64">
        <f t="shared" si="1"/>
        <v>0</v>
      </c>
    </row>
    <row r="64" spans="2:22" ht="17.100000000000001" customHeight="1" x14ac:dyDescent="0.4">
      <c r="B64" s="52">
        <v>46054</v>
      </c>
      <c r="C64" s="35">
        <v>2</v>
      </c>
      <c r="D64" s="53"/>
      <c r="E64" s="54" t="e">
        <f>VLOOKUP($D64,'헌금 봉투 번호 (2026)'!$B$2:$E$326,2,FALSE)</f>
        <v>#N/A</v>
      </c>
      <c r="F64" s="54" t="e">
        <f>VLOOKUP($D64,'헌금 봉투 번호 (2026)'!$B$2:$E$326,3,FALSE)</f>
        <v>#N/A</v>
      </c>
      <c r="G64" s="54" t="e">
        <f>VLOOKUP($D64,'헌금 봉투 번호 (2026)'!$B$2:$E$326,4,FALSE)</f>
        <v>#N/A</v>
      </c>
      <c r="H64" s="55" t="s">
        <v>428</v>
      </c>
      <c r="I64" s="13"/>
      <c r="J64" s="13"/>
      <c r="K64" s="11"/>
      <c r="L64" s="13"/>
      <c r="M64" s="13"/>
      <c r="N64" s="11"/>
      <c r="O64" s="11"/>
      <c r="P64" s="11"/>
      <c r="Q64" s="11"/>
      <c r="R64" s="13"/>
      <c r="S64" s="13"/>
      <c r="T64" s="12"/>
      <c r="U64" s="55"/>
      <c r="V64" s="64">
        <f t="shared" si="1"/>
        <v>0</v>
      </c>
    </row>
    <row r="65" spans="2:22" ht="17.100000000000001" customHeight="1" x14ac:dyDescent="0.4">
      <c r="B65" s="52">
        <v>46054</v>
      </c>
      <c r="C65" s="35">
        <v>2</v>
      </c>
      <c r="D65" s="53"/>
      <c r="E65" s="54" t="e">
        <f>VLOOKUP($D65,'헌금 봉투 번호 (2026)'!$B$2:$E$326,2,FALSE)</f>
        <v>#N/A</v>
      </c>
      <c r="F65" s="54" t="e">
        <f>VLOOKUP($D65,'헌금 봉투 번호 (2026)'!$B$2:$E$326,3,FALSE)</f>
        <v>#N/A</v>
      </c>
      <c r="G65" s="54" t="e">
        <f>VLOOKUP($D65,'헌금 봉투 번호 (2026)'!$B$2:$E$326,4,FALSE)</f>
        <v>#N/A</v>
      </c>
      <c r="H65" s="55" t="s">
        <v>428</v>
      </c>
      <c r="I65" s="13"/>
      <c r="J65" s="13"/>
      <c r="K65" s="11"/>
      <c r="L65" s="13"/>
      <c r="M65" s="13"/>
      <c r="N65" s="11"/>
      <c r="O65" s="13"/>
      <c r="P65" s="13"/>
      <c r="Q65" s="13"/>
      <c r="R65" s="13"/>
      <c r="S65" s="11"/>
      <c r="T65" s="11"/>
      <c r="U65" s="24"/>
      <c r="V65" s="64">
        <f t="shared" si="1"/>
        <v>0</v>
      </c>
    </row>
    <row r="66" spans="2:22" ht="17.100000000000001" customHeight="1" x14ac:dyDescent="0.4">
      <c r="B66" s="52">
        <v>46054</v>
      </c>
      <c r="C66" s="35">
        <v>2</v>
      </c>
      <c r="D66" s="53"/>
      <c r="E66" s="54" t="e">
        <f>VLOOKUP($D66,'헌금 봉투 번호 (2026)'!$B$2:$E$326,2,FALSE)</f>
        <v>#N/A</v>
      </c>
      <c r="F66" s="54" t="e">
        <f>VLOOKUP($D66,'헌금 봉투 번호 (2026)'!$B$2:$E$326,3,FALSE)</f>
        <v>#N/A</v>
      </c>
      <c r="G66" s="54" t="e">
        <f>VLOOKUP($D66,'헌금 봉투 번호 (2026)'!$B$2:$E$326,4,FALSE)</f>
        <v>#N/A</v>
      </c>
      <c r="H66" s="55" t="s">
        <v>428</v>
      </c>
      <c r="I66" s="13"/>
      <c r="J66" s="13"/>
      <c r="K66" s="11"/>
      <c r="L66" s="13"/>
      <c r="M66" s="13"/>
      <c r="N66" s="11"/>
      <c r="O66" s="13"/>
      <c r="P66" s="13"/>
      <c r="Q66" s="13"/>
      <c r="R66" s="13"/>
      <c r="S66" s="11"/>
      <c r="T66" s="11"/>
      <c r="U66" s="55"/>
      <c r="V66" s="64">
        <f t="shared" si="1"/>
        <v>0</v>
      </c>
    </row>
    <row r="67" spans="2:22" ht="17.100000000000001" customHeight="1" x14ac:dyDescent="0.4">
      <c r="B67" s="52">
        <v>46054</v>
      </c>
      <c r="C67" s="35">
        <v>2</v>
      </c>
      <c r="D67" s="53"/>
      <c r="E67" s="55" t="e">
        <f>VLOOKUP($D67,'헌금 봉투 번호 (2026)'!$B$2:$E$326,2,FALSE)</f>
        <v>#N/A</v>
      </c>
      <c r="F67" s="55" t="e">
        <f>VLOOKUP($D67,'헌금 봉투 번호 (2026)'!$B$2:$E$326,3,FALSE)</f>
        <v>#N/A</v>
      </c>
      <c r="G67" s="54" t="e">
        <f>VLOOKUP($D67,'헌금 봉투 번호 (2026)'!$B$2:$E$326,4,FALSE)</f>
        <v>#N/A</v>
      </c>
      <c r="H67" s="55" t="s">
        <v>428</v>
      </c>
      <c r="I67" s="13"/>
      <c r="J67" s="13"/>
      <c r="K67" s="11"/>
      <c r="L67" s="13"/>
      <c r="M67" s="13"/>
      <c r="N67" s="90"/>
      <c r="O67" s="13"/>
      <c r="P67" s="13"/>
      <c r="Q67" s="13"/>
      <c r="R67" s="13"/>
      <c r="S67" s="11"/>
      <c r="T67" s="11"/>
      <c r="U67" s="54"/>
      <c r="V67" s="64">
        <f t="shared" ref="V67:V98" si="2">SUM(I67:T67)</f>
        <v>0</v>
      </c>
    </row>
    <row r="68" spans="2:22" ht="17.100000000000001" customHeight="1" x14ac:dyDescent="0.4">
      <c r="B68" s="52">
        <v>46054</v>
      </c>
      <c r="C68" s="35">
        <v>2</v>
      </c>
      <c r="D68" s="53"/>
      <c r="E68" s="54" t="e">
        <f>VLOOKUP($D68,'헌금 봉투 번호 (2026)'!$B$2:$E$326,2,FALSE)</f>
        <v>#N/A</v>
      </c>
      <c r="F68" s="54" t="e">
        <f>VLOOKUP($D68,'헌금 봉투 번호 (2026)'!$B$2:$E$326,3,FALSE)</f>
        <v>#N/A</v>
      </c>
      <c r="G68" s="54" t="e">
        <f>VLOOKUP($D68,'헌금 봉투 번호 (2026)'!$B$2:$E$326,4,FALSE)</f>
        <v>#N/A</v>
      </c>
      <c r="H68" s="55" t="s">
        <v>428</v>
      </c>
      <c r="I68" s="13"/>
      <c r="J68" s="13"/>
      <c r="K68" s="11"/>
      <c r="L68" s="13"/>
      <c r="M68" s="13"/>
      <c r="N68" s="90"/>
      <c r="O68" s="13"/>
      <c r="P68" s="13"/>
      <c r="Q68" s="13"/>
      <c r="R68" s="13"/>
      <c r="S68" s="11"/>
      <c r="T68" s="11"/>
      <c r="U68" s="91"/>
      <c r="V68" s="64">
        <f t="shared" si="2"/>
        <v>0</v>
      </c>
    </row>
    <row r="69" spans="2:22" ht="17.399999999999999" customHeight="1" x14ac:dyDescent="0.4">
      <c r="B69" s="52">
        <v>46054</v>
      </c>
      <c r="C69" s="35">
        <v>2</v>
      </c>
      <c r="D69" s="53"/>
      <c r="E69" s="54" t="e">
        <f>VLOOKUP($D69,'헌금 봉투 번호 (2026)'!$B$2:$E$326,2,FALSE)</f>
        <v>#N/A</v>
      </c>
      <c r="F69" s="54" t="e">
        <f>VLOOKUP($D69,'헌금 봉투 번호 (2026)'!$B$2:$E$326,3,FALSE)</f>
        <v>#N/A</v>
      </c>
      <c r="G69" s="54" t="e">
        <f>VLOOKUP($D69,'헌금 봉투 번호 (2026)'!$B$2:$E$326,4,FALSE)</f>
        <v>#N/A</v>
      </c>
      <c r="H69" s="55" t="s">
        <v>428</v>
      </c>
      <c r="I69" s="13"/>
      <c r="J69" s="13"/>
      <c r="K69" s="11"/>
      <c r="L69" s="13"/>
      <c r="M69" s="13"/>
      <c r="N69" s="90"/>
      <c r="O69" s="13"/>
      <c r="P69" s="13"/>
      <c r="Q69" s="13"/>
      <c r="R69" s="13"/>
      <c r="S69" s="11"/>
      <c r="T69" s="24"/>
      <c r="U69" s="24"/>
      <c r="V69" s="64">
        <f t="shared" si="2"/>
        <v>0</v>
      </c>
    </row>
    <row r="70" spans="2:22" ht="17.100000000000001" customHeight="1" x14ac:dyDescent="0.4">
      <c r="B70" s="52">
        <v>46054</v>
      </c>
      <c r="C70" s="35">
        <v>2</v>
      </c>
      <c r="D70" s="53"/>
      <c r="E70" s="54" t="e">
        <f>VLOOKUP($D70,'헌금 봉투 번호 (2026)'!$B$2:$E$326,2,FALSE)</f>
        <v>#N/A</v>
      </c>
      <c r="F70" s="54" t="e">
        <f>VLOOKUP($D70,'헌금 봉투 번호 (2026)'!$B$2:$E$326,3,FALSE)</f>
        <v>#N/A</v>
      </c>
      <c r="G70" s="54" t="e">
        <f>VLOOKUP($D70,'헌금 봉투 번호 (2026)'!$B$2:$E$326,4,FALSE)</f>
        <v>#N/A</v>
      </c>
      <c r="H70" s="55" t="s">
        <v>428</v>
      </c>
      <c r="I70" s="13"/>
      <c r="J70" s="13"/>
      <c r="K70" s="11"/>
      <c r="L70" s="13"/>
      <c r="M70" s="13"/>
      <c r="N70" s="11"/>
      <c r="O70" s="13"/>
      <c r="P70" s="13"/>
      <c r="Q70" s="13"/>
      <c r="R70" s="13"/>
      <c r="S70" s="11"/>
      <c r="T70" s="11"/>
      <c r="U70" s="24"/>
      <c r="V70" s="64">
        <f t="shared" si="2"/>
        <v>0</v>
      </c>
    </row>
    <row r="71" spans="2:22" ht="17.100000000000001" customHeight="1" x14ac:dyDescent="0.4">
      <c r="B71" s="52">
        <v>46054</v>
      </c>
      <c r="C71" s="35">
        <v>2</v>
      </c>
      <c r="D71" s="53"/>
      <c r="E71" s="55" t="e">
        <f>VLOOKUP($D71,'헌금 봉투 번호 (2026)'!$B$2:$E$326,2,FALSE)</f>
        <v>#N/A</v>
      </c>
      <c r="F71" s="55" t="e">
        <f>VLOOKUP($D71,'헌금 봉투 번호 (2026)'!$B$2:$E$326,3,FALSE)</f>
        <v>#N/A</v>
      </c>
      <c r="G71" s="54" t="e">
        <f>VLOOKUP($D71,'헌금 봉투 번호 (2026)'!$B$2:$E$326,4,FALSE)</f>
        <v>#N/A</v>
      </c>
      <c r="H71" s="55" t="s">
        <v>428</v>
      </c>
      <c r="I71" s="13"/>
      <c r="J71" s="13"/>
      <c r="K71" s="11"/>
      <c r="L71" s="13"/>
      <c r="M71" s="13"/>
      <c r="N71" s="90"/>
      <c r="O71" s="13"/>
      <c r="P71" s="13"/>
      <c r="Q71" s="13"/>
      <c r="R71" s="13"/>
      <c r="S71" s="11"/>
      <c r="T71" s="11"/>
      <c r="U71" s="55"/>
      <c r="V71" s="64">
        <f t="shared" si="2"/>
        <v>0</v>
      </c>
    </row>
    <row r="72" spans="2:22" ht="17.100000000000001" customHeight="1" x14ac:dyDescent="0.4">
      <c r="B72" s="52">
        <v>46054</v>
      </c>
      <c r="C72" s="35">
        <v>2</v>
      </c>
      <c r="D72" s="53"/>
      <c r="E72" s="55" t="e">
        <f>VLOOKUP($D72,'헌금 봉투 번호 (2026)'!$B$2:$E$326,2,FALSE)</f>
        <v>#N/A</v>
      </c>
      <c r="F72" s="55" t="e">
        <f>VLOOKUP($D72,'헌금 봉투 번호 (2026)'!$B$2:$E$326,3,FALSE)</f>
        <v>#N/A</v>
      </c>
      <c r="G72" s="54" t="e">
        <f>VLOOKUP($D72,'헌금 봉투 번호 (2026)'!$B$2:$E$326,4,FALSE)</f>
        <v>#N/A</v>
      </c>
      <c r="H72" s="55" t="s">
        <v>428</v>
      </c>
      <c r="I72" s="13"/>
      <c r="J72" s="13"/>
      <c r="K72" s="11"/>
      <c r="L72" s="13"/>
      <c r="M72" s="13"/>
      <c r="N72" s="90"/>
      <c r="O72" s="13"/>
      <c r="P72" s="13"/>
      <c r="Q72" s="13"/>
      <c r="R72" s="13"/>
      <c r="S72" s="11"/>
      <c r="T72" s="11"/>
      <c r="U72" s="91"/>
      <c r="V72" s="64">
        <f t="shared" si="2"/>
        <v>0</v>
      </c>
    </row>
    <row r="73" spans="2:22" ht="17.100000000000001" customHeight="1" x14ac:dyDescent="0.4">
      <c r="B73" s="52">
        <v>46054</v>
      </c>
      <c r="C73" s="35">
        <v>2</v>
      </c>
      <c r="D73" s="53"/>
      <c r="E73" s="54" t="e">
        <f>VLOOKUP($D73,'헌금 봉투 번호 (2026)'!$B$2:$E$326,2,FALSE)</f>
        <v>#N/A</v>
      </c>
      <c r="F73" s="54" t="e">
        <f>VLOOKUP($D73,'헌금 봉투 번호 (2026)'!$B$2:$E$326,3,FALSE)</f>
        <v>#N/A</v>
      </c>
      <c r="G73" s="54" t="e">
        <f>VLOOKUP($D73,'헌금 봉투 번호 (2026)'!$B$2:$E$326,4,FALSE)</f>
        <v>#N/A</v>
      </c>
      <c r="H73" s="55" t="s">
        <v>428</v>
      </c>
      <c r="I73" s="13"/>
      <c r="J73" s="13"/>
      <c r="K73" s="11"/>
      <c r="L73" s="13"/>
      <c r="M73" s="13"/>
      <c r="N73" s="11"/>
      <c r="O73" s="54"/>
      <c r="P73" s="13"/>
      <c r="Q73" s="13"/>
      <c r="R73" s="13"/>
      <c r="S73" s="11"/>
      <c r="T73" s="11"/>
      <c r="U73" s="54"/>
      <c r="V73" s="64">
        <f t="shared" si="2"/>
        <v>0</v>
      </c>
    </row>
    <row r="74" spans="2:22" ht="17.100000000000001" customHeight="1" x14ac:dyDescent="0.4">
      <c r="B74" s="52">
        <v>46054</v>
      </c>
      <c r="C74" s="35">
        <v>2</v>
      </c>
      <c r="D74" s="53"/>
      <c r="E74" s="54" t="e">
        <f>VLOOKUP($D74,'헌금 봉투 번호 (2026)'!$B$2:$E$326,2,FALSE)</f>
        <v>#N/A</v>
      </c>
      <c r="F74" s="54" t="e">
        <f>VLOOKUP($D74,'헌금 봉투 번호 (2026)'!$B$2:$E$326,3,FALSE)</f>
        <v>#N/A</v>
      </c>
      <c r="G74" s="54" t="e">
        <f>VLOOKUP($D74,'헌금 봉투 번호 (2026)'!$B$2:$E$326,4,FALSE)</f>
        <v>#N/A</v>
      </c>
      <c r="H74" s="55" t="s">
        <v>428</v>
      </c>
      <c r="I74" s="13"/>
      <c r="J74" s="13"/>
      <c r="K74" s="11"/>
      <c r="L74" s="13"/>
      <c r="M74" s="13"/>
      <c r="N74" s="90"/>
      <c r="O74" s="11"/>
      <c r="P74" s="11"/>
      <c r="Q74" s="11"/>
      <c r="R74" s="13"/>
      <c r="S74" s="13"/>
      <c r="T74" s="11"/>
      <c r="U74" s="94"/>
      <c r="V74" s="64">
        <f t="shared" si="2"/>
        <v>0</v>
      </c>
    </row>
    <row r="75" spans="2:22" ht="17.100000000000001" customHeight="1" x14ac:dyDescent="0.4">
      <c r="B75" s="52">
        <v>46054</v>
      </c>
      <c r="C75" s="35">
        <v>2</v>
      </c>
      <c r="D75" s="53"/>
      <c r="E75" s="55" t="e">
        <f>VLOOKUP($D75,'헌금 봉투 번호 (2026)'!$B$2:$E$326,2,FALSE)</f>
        <v>#N/A</v>
      </c>
      <c r="F75" s="55" t="e">
        <f>VLOOKUP($D75,'헌금 봉투 번호 (2026)'!$B$2:$E$326,3,FALSE)</f>
        <v>#N/A</v>
      </c>
      <c r="G75" s="54" t="e">
        <f>VLOOKUP($D75,'헌금 봉투 번호 (2026)'!$B$2:$E$326,4,FALSE)</f>
        <v>#N/A</v>
      </c>
      <c r="H75" s="55" t="s">
        <v>428</v>
      </c>
      <c r="I75" s="10"/>
      <c r="J75" s="10"/>
      <c r="K75" s="11"/>
      <c r="L75" s="10"/>
      <c r="M75" s="10"/>
      <c r="N75" s="90"/>
      <c r="O75" s="13"/>
      <c r="P75" s="13"/>
      <c r="Q75" s="13"/>
      <c r="R75" s="13"/>
      <c r="S75" s="11"/>
      <c r="T75" s="11"/>
      <c r="U75" s="24"/>
      <c r="V75" s="64">
        <f t="shared" si="2"/>
        <v>0</v>
      </c>
    </row>
    <row r="76" spans="2:22" ht="17.100000000000001" customHeight="1" x14ac:dyDescent="0.4">
      <c r="B76" s="52">
        <v>46055</v>
      </c>
      <c r="C76" s="35">
        <v>2</v>
      </c>
      <c r="D76" s="53"/>
      <c r="E76" s="54" t="e">
        <f>VLOOKUP($D76,'헌금 봉투 번호 (2026)'!$B$2:$E$326,2,FALSE)</f>
        <v>#N/A</v>
      </c>
      <c r="F76" s="54" t="e">
        <f>VLOOKUP($D76,'헌금 봉투 번호 (2026)'!$B$2:$E$326,3,FALSE)</f>
        <v>#N/A</v>
      </c>
      <c r="G76" s="54" t="e">
        <f>VLOOKUP($D76,'헌금 봉투 번호 (2026)'!$B$2:$E$326,4,FALSE)</f>
        <v>#N/A</v>
      </c>
      <c r="H76" s="55" t="s">
        <v>428</v>
      </c>
      <c r="I76" s="13"/>
      <c r="J76" s="13"/>
      <c r="K76" s="11"/>
      <c r="L76" s="13"/>
      <c r="M76" s="13"/>
      <c r="N76" s="90"/>
      <c r="O76" s="13"/>
      <c r="P76" s="13"/>
      <c r="Q76" s="13"/>
      <c r="R76" s="13"/>
      <c r="S76" s="11"/>
      <c r="T76" s="11"/>
      <c r="U76" s="94"/>
      <c r="V76" s="64">
        <f t="shared" si="2"/>
        <v>0</v>
      </c>
    </row>
    <row r="77" spans="2:22" ht="17.100000000000001" customHeight="1" x14ac:dyDescent="0.4">
      <c r="B77" s="52">
        <v>46055</v>
      </c>
      <c r="C77" s="35">
        <v>2</v>
      </c>
      <c r="D77" s="53"/>
      <c r="E77" s="54" t="e">
        <f>VLOOKUP($D77,'헌금 봉투 번호 (2026)'!$B$2:$E$326,2,FALSE)</f>
        <v>#N/A</v>
      </c>
      <c r="F77" s="54" t="e">
        <f>VLOOKUP($D77,'헌금 봉투 번호 (2026)'!$B$2:$E$326,3,FALSE)</f>
        <v>#N/A</v>
      </c>
      <c r="G77" s="54" t="e">
        <f>VLOOKUP($D77,'헌금 봉투 번호 (2026)'!$B$2:$E$326,4,FALSE)</f>
        <v>#N/A</v>
      </c>
      <c r="H77" s="55" t="s">
        <v>428</v>
      </c>
      <c r="I77" s="13"/>
      <c r="J77" s="13"/>
      <c r="K77" s="11"/>
      <c r="L77" s="13"/>
      <c r="M77" s="13"/>
      <c r="N77" s="90"/>
      <c r="O77" s="13"/>
      <c r="P77" s="13"/>
      <c r="Q77" s="13"/>
      <c r="R77" s="13"/>
      <c r="S77" s="11"/>
      <c r="T77" s="11"/>
      <c r="U77" s="92"/>
      <c r="V77" s="64">
        <f t="shared" si="2"/>
        <v>0</v>
      </c>
    </row>
    <row r="78" spans="2:22" ht="17.100000000000001" customHeight="1" x14ac:dyDescent="0.4">
      <c r="B78" s="52">
        <v>46055</v>
      </c>
      <c r="C78" s="35">
        <v>2</v>
      </c>
      <c r="D78" s="53"/>
      <c r="E78" s="54" t="e">
        <f>VLOOKUP($D78,'헌금 봉투 번호 (2026)'!$B$2:$E$326,2,FALSE)</f>
        <v>#N/A</v>
      </c>
      <c r="F78" s="54" t="e">
        <f>VLOOKUP($D78,'헌금 봉투 번호 (2026)'!$B$2:$E$326,3,FALSE)</f>
        <v>#N/A</v>
      </c>
      <c r="G78" s="54" t="e">
        <f>VLOOKUP($D78,'헌금 봉투 번호 (2026)'!$B$2:$E$326,4,FALSE)</f>
        <v>#N/A</v>
      </c>
      <c r="H78" s="55" t="s">
        <v>428</v>
      </c>
      <c r="I78" s="13"/>
      <c r="J78" s="13"/>
      <c r="K78" s="11"/>
      <c r="L78" s="13"/>
      <c r="M78" s="13"/>
      <c r="N78" s="90"/>
      <c r="O78" s="13"/>
      <c r="P78" s="13"/>
      <c r="Q78" s="13"/>
      <c r="R78" s="13"/>
      <c r="S78" s="11"/>
      <c r="T78" s="11"/>
      <c r="U78" s="92"/>
      <c r="V78" s="64">
        <f t="shared" si="2"/>
        <v>0</v>
      </c>
    </row>
    <row r="79" spans="2:22" ht="17.100000000000001" customHeight="1" x14ac:dyDescent="0.4">
      <c r="B79" s="52">
        <v>46056</v>
      </c>
      <c r="C79" s="35">
        <v>2</v>
      </c>
      <c r="D79" s="53"/>
      <c r="E79" s="54" t="e">
        <f>VLOOKUP($D79,'헌금 봉투 번호 (2026)'!$B$2:$E$326,2,FALSE)</f>
        <v>#N/A</v>
      </c>
      <c r="F79" s="54" t="e">
        <f>VLOOKUP($D79,'헌금 봉투 번호 (2026)'!$B$2:$E$326,3,FALSE)</f>
        <v>#N/A</v>
      </c>
      <c r="G79" s="54" t="e">
        <f>VLOOKUP($D79,'헌금 봉투 번호 (2026)'!$B$2:$E$326,4,FALSE)</f>
        <v>#N/A</v>
      </c>
      <c r="H79" s="55" t="s">
        <v>428</v>
      </c>
      <c r="I79" s="13"/>
      <c r="J79" s="13"/>
      <c r="K79" s="11"/>
      <c r="L79" s="84"/>
      <c r="M79" s="13"/>
      <c r="N79" s="90"/>
      <c r="O79" s="13"/>
      <c r="P79" s="13"/>
      <c r="Q79" s="13"/>
      <c r="R79" s="13"/>
      <c r="S79" s="11"/>
      <c r="T79" s="11"/>
      <c r="U79" s="54"/>
      <c r="V79" s="64">
        <f t="shared" si="2"/>
        <v>0</v>
      </c>
    </row>
    <row r="80" spans="2:22" ht="17.100000000000001" customHeight="1" x14ac:dyDescent="0.4">
      <c r="B80" s="52">
        <v>46056</v>
      </c>
      <c r="C80" s="35">
        <v>2</v>
      </c>
      <c r="D80" s="53"/>
      <c r="E80" s="54" t="e">
        <f>VLOOKUP($D80,'헌금 봉투 번호 (2026)'!$B$2:$E$326,2,FALSE)</f>
        <v>#N/A</v>
      </c>
      <c r="F80" s="54" t="e">
        <f>VLOOKUP($D80,'헌금 봉투 번호 (2026)'!$B$2:$E$326,3,FALSE)</f>
        <v>#N/A</v>
      </c>
      <c r="G80" s="54" t="e">
        <f>VLOOKUP($D80,'헌금 봉투 번호 (2026)'!$B$2:$E$326,4,FALSE)</f>
        <v>#N/A</v>
      </c>
      <c r="H80" s="55" t="s">
        <v>428</v>
      </c>
      <c r="I80" s="13"/>
      <c r="J80" s="13"/>
      <c r="K80" s="11"/>
      <c r="L80" s="13"/>
      <c r="M80" s="13"/>
      <c r="N80" s="11"/>
      <c r="O80" s="13"/>
      <c r="P80" s="13"/>
      <c r="Q80" s="13"/>
      <c r="R80" s="13"/>
      <c r="S80" s="11"/>
      <c r="T80" s="11"/>
      <c r="U80" s="24"/>
      <c r="V80" s="64">
        <f t="shared" si="2"/>
        <v>0</v>
      </c>
    </row>
    <row r="81" spans="2:22" ht="17.100000000000001" customHeight="1" x14ac:dyDescent="0.4">
      <c r="B81" s="52">
        <v>46056</v>
      </c>
      <c r="C81" s="35">
        <v>2</v>
      </c>
      <c r="D81" s="53"/>
      <c r="E81" s="54" t="e">
        <f>VLOOKUP($D81,'헌금 봉투 번호 (2026)'!$B$2:$E$326,2,FALSE)</f>
        <v>#N/A</v>
      </c>
      <c r="F81" s="54" t="e">
        <f>VLOOKUP($D81,'헌금 봉투 번호 (2026)'!$B$2:$E$326,3,FALSE)</f>
        <v>#N/A</v>
      </c>
      <c r="G81" s="54" t="e">
        <f>VLOOKUP($D81,'헌금 봉투 번호 (2026)'!$B$2:$E$326,4,FALSE)</f>
        <v>#N/A</v>
      </c>
      <c r="H81" s="55" t="s">
        <v>428</v>
      </c>
      <c r="I81" s="13"/>
      <c r="J81" s="13"/>
      <c r="K81" s="11"/>
      <c r="L81" s="13"/>
      <c r="M81" s="13"/>
      <c r="N81" s="90"/>
      <c r="O81" s="13"/>
      <c r="P81" s="13"/>
      <c r="Q81" s="13"/>
      <c r="R81" s="13"/>
      <c r="S81" s="11"/>
      <c r="T81" s="11"/>
      <c r="U81" s="94"/>
      <c r="V81" s="64">
        <f t="shared" si="2"/>
        <v>0</v>
      </c>
    </row>
    <row r="82" spans="2:22" ht="17.100000000000001" customHeight="1" x14ac:dyDescent="0.4">
      <c r="B82" s="52">
        <v>46056</v>
      </c>
      <c r="C82" s="35">
        <v>2</v>
      </c>
      <c r="D82" s="53"/>
      <c r="E82" s="54" t="e">
        <f>VLOOKUP($D82,'헌금 봉투 번호 (2026)'!$B$2:$E$326,2,FALSE)</f>
        <v>#N/A</v>
      </c>
      <c r="F82" s="54" t="e">
        <f>VLOOKUP($D82,'헌금 봉투 번호 (2026)'!$B$2:$E$326,3,FALSE)</f>
        <v>#N/A</v>
      </c>
      <c r="G82" s="54" t="e">
        <f>VLOOKUP($D82,'헌금 봉투 번호 (2026)'!$B$2:$E$326,4,FALSE)</f>
        <v>#N/A</v>
      </c>
      <c r="H82" s="55" t="s">
        <v>428</v>
      </c>
      <c r="I82" s="13"/>
      <c r="J82" s="13"/>
      <c r="K82" s="11"/>
      <c r="L82" s="13"/>
      <c r="M82" s="13"/>
      <c r="N82" s="90"/>
      <c r="O82" s="13"/>
      <c r="P82" s="13"/>
      <c r="Q82" s="13"/>
      <c r="R82" s="13"/>
      <c r="S82" s="11"/>
      <c r="T82" s="13"/>
      <c r="U82" s="92"/>
      <c r="V82" s="64">
        <f t="shared" si="2"/>
        <v>0</v>
      </c>
    </row>
    <row r="83" spans="2:22" ht="17.100000000000001" customHeight="1" x14ac:dyDescent="0.4">
      <c r="B83" s="52">
        <v>46057</v>
      </c>
      <c r="C83" s="35">
        <v>2</v>
      </c>
      <c r="D83" s="53"/>
      <c r="E83" s="54" t="e">
        <f>VLOOKUP($D83,'헌금 봉투 번호 (2026)'!$B$2:$E$326,2,FALSE)</f>
        <v>#N/A</v>
      </c>
      <c r="F83" s="54" t="e">
        <f>VLOOKUP($D83,'헌금 봉투 번호 (2026)'!$B$2:$E$326,3,FALSE)</f>
        <v>#N/A</v>
      </c>
      <c r="G83" s="54" t="e">
        <f>VLOOKUP($D83,'헌금 봉투 번호 (2026)'!$B$2:$E$326,4,FALSE)</f>
        <v>#N/A</v>
      </c>
      <c r="H83" s="55" t="s">
        <v>428</v>
      </c>
      <c r="I83" s="13"/>
      <c r="J83" s="13"/>
      <c r="K83" s="11"/>
      <c r="L83" s="13"/>
      <c r="M83" s="13"/>
      <c r="N83" s="90"/>
      <c r="O83" s="13"/>
      <c r="P83" s="13"/>
      <c r="Q83" s="89"/>
      <c r="R83" s="13"/>
      <c r="S83" s="11"/>
      <c r="T83" s="13"/>
      <c r="U83" s="92"/>
      <c r="V83" s="64">
        <f t="shared" si="2"/>
        <v>0</v>
      </c>
    </row>
    <row r="84" spans="2:22" ht="17.100000000000001" customHeight="1" x14ac:dyDescent="0.4">
      <c r="B84" s="52">
        <v>46057</v>
      </c>
      <c r="C84" s="35">
        <v>2</v>
      </c>
      <c r="D84" s="53"/>
      <c r="E84" s="54" t="e">
        <f>VLOOKUP($D84,'헌금 봉투 번호 (2026)'!$B$2:$E$326,2,FALSE)</f>
        <v>#N/A</v>
      </c>
      <c r="F84" s="54" t="e">
        <f>VLOOKUP($D84,'헌금 봉투 번호 (2026)'!$B$2:$E$326,3,FALSE)</f>
        <v>#N/A</v>
      </c>
      <c r="G84" s="54" t="e">
        <f>VLOOKUP($D84,'헌금 봉투 번호 (2026)'!$B$2:$E$326,4,FALSE)</f>
        <v>#N/A</v>
      </c>
      <c r="H84" s="55" t="s">
        <v>428</v>
      </c>
      <c r="I84" s="13"/>
      <c r="J84" s="13"/>
      <c r="K84" s="11"/>
      <c r="L84" s="13"/>
      <c r="M84" s="13"/>
      <c r="N84" s="90"/>
      <c r="O84" s="13"/>
      <c r="P84" s="13"/>
      <c r="Q84" s="13"/>
      <c r="R84" s="13"/>
      <c r="S84" s="13"/>
      <c r="T84" s="13"/>
      <c r="U84" s="92"/>
      <c r="V84" s="64">
        <f t="shared" si="2"/>
        <v>0</v>
      </c>
    </row>
    <row r="85" spans="2:22" ht="17.100000000000001" customHeight="1" x14ac:dyDescent="0.4">
      <c r="B85" s="52">
        <v>46057</v>
      </c>
      <c r="C85" s="35">
        <v>2</v>
      </c>
      <c r="D85" s="53"/>
      <c r="E85" s="54" t="e">
        <f>VLOOKUP($D85,'헌금 봉투 번호 (2026)'!$B$2:$E$326,2,FALSE)</f>
        <v>#N/A</v>
      </c>
      <c r="F85" s="54" t="e">
        <f>VLOOKUP($D85,'헌금 봉투 번호 (2026)'!$B$2:$E$326,3,FALSE)</f>
        <v>#N/A</v>
      </c>
      <c r="G85" s="54" t="e">
        <f>VLOOKUP($D85,'헌금 봉투 번호 (2026)'!$B$2:$E$326,4,FALSE)</f>
        <v>#N/A</v>
      </c>
      <c r="H85" s="55" t="s">
        <v>428</v>
      </c>
      <c r="I85" s="13"/>
      <c r="J85" s="13"/>
      <c r="K85" s="11"/>
      <c r="L85" s="13"/>
      <c r="M85" s="13"/>
      <c r="N85" s="90"/>
      <c r="O85" s="13"/>
      <c r="P85" s="13"/>
      <c r="Q85" s="13"/>
      <c r="R85" s="13"/>
      <c r="S85" s="11"/>
      <c r="T85" s="11"/>
      <c r="U85" s="92"/>
      <c r="V85" s="64">
        <f t="shared" si="2"/>
        <v>0</v>
      </c>
    </row>
    <row r="86" spans="2:22" ht="17.100000000000001" customHeight="1" x14ac:dyDescent="0.4">
      <c r="B86" s="52">
        <v>46057</v>
      </c>
      <c r="C86" s="35">
        <v>2</v>
      </c>
      <c r="D86" s="53"/>
      <c r="E86" s="54" t="e">
        <f>VLOOKUP($D86,'헌금 봉투 번호 (2026)'!$B$2:$E$326,2,FALSE)</f>
        <v>#N/A</v>
      </c>
      <c r="F86" s="54" t="e">
        <f>VLOOKUP($D86,'헌금 봉투 번호 (2026)'!$B$2:$E$326,3,FALSE)</f>
        <v>#N/A</v>
      </c>
      <c r="G86" s="54" t="e">
        <f>VLOOKUP($D86,'헌금 봉투 번호 (2026)'!$B$2:$E$326,4,FALSE)</f>
        <v>#N/A</v>
      </c>
      <c r="H86" s="55" t="s">
        <v>428</v>
      </c>
      <c r="I86" s="13"/>
      <c r="J86" s="13"/>
      <c r="K86" s="11"/>
      <c r="L86" s="13"/>
      <c r="M86" s="13"/>
      <c r="N86" s="90"/>
      <c r="O86" s="13"/>
      <c r="P86" s="13"/>
      <c r="Q86" s="13"/>
      <c r="R86" s="13"/>
      <c r="S86" s="11"/>
      <c r="T86" s="11"/>
      <c r="U86" s="92"/>
      <c r="V86" s="64">
        <f t="shared" si="2"/>
        <v>0</v>
      </c>
    </row>
    <row r="87" spans="2:22" ht="17.100000000000001" customHeight="1" x14ac:dyDescent="0.4">
      <c r="B87" s="52">
        <v>46058</v>
      </c>
      <c r="C87" s="35">
        <v>2</v>
      </c>
      <c r="D87" s="53"/>
      <c r="E87" s="54" t="e">
        <f>VLOOKUP($D87,'헌금 봉투 번호 (2026)'!$B$2:$E$326,2,FALSE)</f>
        <v>#N/A</v>
      </c>
      <c r="F87" s="54" t="e">
        <f>VLOOKUP($D87,'헌금 봉투 번호 (2026)'!$B$2:$E$326,3,FALSE)</f>
        <v>#N/A</v>
      </c>
      <c r="G87" s="54" t="e">
        <f>VLOOKUP($D87,'헌금 봉투 번호 (2026)'!$B$2:$E$326,4,FALSE)</f>
        <v>#N/A</v>
      </c>
      <c r="H87" s="55" t="s">
        <v>428</v>
      </c>
      <c r="I87" s="13"/>
      <c r="J87" s="13"/>
      <c r="K87" s="11"/>
      <c r="L87" s="13"/>
      <c r="M87" s="13"/>
      <c r="N87" s="90"/>
      <c r="O87" s="13"/>
      <c r="P87" s="13"/>
      <c r="Q87" s="13"/>
      <c r="R87" s="13"/>
      <c r="S87" s="11"/>
      <c r="T87" s="11"/>
      <c r="U87" s="92"/>
      <c r="V87" s="64">
        <f t="shared" si="2"/>
        <v>0</v>
      </c>
    </row>
    <row r="88" spans="2:22" ht="17.100000000000001" customHeight="1" x14ac:dyDescent="0.4">
      <c r="B88" s="52">
        <v>46058</v>
      </c>
      <c r="C88" s="35">
        <v>2</v>
      </c>
      <c r="D88" s="53"/>
      <c r="E88" s="55" t="e">
        <f>VLOOKUP($D88,'헌금 봉투 번호 (2026)'!$B$2:$E$326,2,FALSE)</f>
        <v>#N/A</v>
      </c>
      <c r="F88" s="54" t="e">
        <f>VLOOKUP($D88,'헌금 봉투 번호 (2026)'!$B$2:$E$326,3,FALSE)</f>
        <v>#N/A</v>
      </c>
      <c r="G88" s="54" t="e">
        <f>VLOOKUP($D88,'헌금 봉투 번호 (2026)'!$B$2:$E$326,4,FALSE)</f>
        <v>#N/A</v>
      </c>
      <c r="H88" s="55" t="s">
        <v>428</v>
      </c>
      <c r="I88" s="13"/>
      <c r="J88" s="13"/>
      <c r="K88" s="11"/>
      <c r="L88" s="13"/>
      <c r="M88" s="13"/>
      <c r="N88" s="90"/>
      <c r="O88" s="13"/>
      <c r="P88" s="13"/>
      <c r="Q88" s="13"/>
      <c r="R88" s="13"/>
      <c r="S88" s="11"/>
      <c r="T88" s="11"/>
      <c r="U88" s="55"/>
      <c r="V88" s="64">
        <f t="shared" si="2"/>
        <v>0</v>
      </c>
    </row>
    <row r="89" spans="2:22" ht="17.100000000000001" customHeight="1" x14ac:dyDescent="0.4">
      <c r="B89" s="52">
        <v>46058</v>
      </c>
      <c r="C89" s="35">
        <v>2</v>
      </c>
      <c r="D89" s="53"/>
      <c r="E89" s="54" t="e">
        <f>VLOOKUP($D89,'헌금 봉투 번호 (2026)'!$B$2:$E$326,2,FALSE)</f>
        <v>#N/A</v>
      </c>
      <c r="F89" s="54" t="e">
        <f>VLOOKUP($D89,'헌금 봉투 번호 (2026)'!$B$2:$E$326,3,FALSE)</f>
        <v>#N/A</v>
      </c>
      <c r="G89" s="54" t="e">
        <f>VLOOKUP($D89,'헌금 봉투 번호 (2026)'!$B$2:$E$326,4,FALSE)</f>
        <v>#N/A</v>
      </c>
      <c r="H89" s="55" t="s">
        <v>428</v>
      </c>
      <c r="I89" s="13"/>
      <c r="J89" s="13"/>
      <c r="K89" s="11"/>
      <c r="L89" s="13"/>
      <c r="M89" s="13"/>
      <c r="N89" s="90"/>
      <c r="O89" s="13"/>
      <c r="P89" s="13"/>
      <c r="Q89" s="13"/>
      <c r="R89" s="13"/>
      <c r="S89" s="11"/>
      <c r="T89" s="11"/>
      <c r="U89" s="79"/>
      <c r="V89" s="64">
        <f t="shared" si="2"/>
        <v>0</v>
      </c>
    </row>
    <row r="90" spans="2:22" ht="17.100000000000001" customHeight="1" x14ac:dyDescent="0.4">
      <c r="B90" s="52">
        <v>46058</v>
      </c>
      <c r="C90" s="35">
        <v>2</v>
      </c>
      <c r="D90" s="53"/>
      <c r="E90" s="54" t="e">
        <f>VLOOKUP($D90,'헌금 봉투 번호 (2026)'!$B$2:$E$326,2,FALSE)</f>
        <v>#N/A</v>
      </c>
      <c r="F90" s="54" t="e">
        <f>VLOOKUP($D90,'헌금 봉투 번호 (2026)'!$B$2:$E$326,3,FALSE)</f>
        <v>#N/A</v>
      </c>
      <c r="G90" s="54" t="e">
        <f>VLOOKUP($D90,'헌금 봉투 번호 (2026)'!$B$2:$E$326,4,FALSE)</f>
        <v>#N/A</v>
      </c>
      <c r="H90" s="55" t="s">
        <v>428</v>
      </c>
      <c r="I90" s="13"/>
      <c r="J90" s="13"/>
      <c r="K90" s="11"/>
      <c r="L90" s="13"/>
      <c r="M90" s="13"/>
      <c r="N90" s="11"/>
      <c r="O90" s="13"/>
      <c r="P90" s="13"/>
      <c r="Q90" s="13"/>
      <c r="R90" s="13"/>
      <c r="S90" s="11"/>
      <c r="T90" s="11"/>
      <c r="U90" s="55"/>
      <c r="V90" s="64">
        <f t="shared" si="2"/>
        <v>0</v>
      </c>
    </row>
    <row r="91" spans="2:22" ht="17.100000000000001" customHeight="1" x14ac:dyDescent="0.4">
      <c r="B91" s="52">
        <v>46059</v>
      </c>
      <c r="C91" s="35">
        <v>2</v>
      </c>
      <c r="D91" s="53"/>
      <c r="E91" s="54" t="e">
        <f>VLOOKUP($D91,'헌금 봉투 번호 (2026)'!$B$2:$E$326,2,FALSE)</f>
        <v>#N/A</v>
      </c>
      <c r="F91" s="54" t="e">
        <f>VLOOKUP($D91,'헌금 봉투 번호 (2026)'!$B$2:$E$326,3,FALSE)</f>
        <v>#N/A</v>
      </c>
      <c r="G91" s="54" t="e">
        <f>VLOOKUP($D91,'헌금 봉투 번호 (2026)'!$B$2:$E$326,4,FALSE)</f>
        <v>#N/A</v>
      </c>
      <c r="H91" s="55" t="s">
        <v>428</v>
      </c>
      <c r="I91" s="13"/>
      <c r="J91" s="89"/>
      <c r="K91" s="11"/>
      <c r="L91" s="13"/>
      <c r="M91" s="13"/>
      <c r="N91" s="11"/>
      <c r="O91" s="11"/>
      <c r="P91" s="11"/>
      <c r="Q91" s="11"/>
      <c r="R91" s="13"/>
      <c r="S91" s="13"/>
      <c r="T91" s="11"/>
      <c r="U91" s="79"/>
      <c r="V91" s="64">
        <f t="shared" si="2"/>
        <v>0</v>
      </c>
    </row>
    <row r="92" spans="2:22" ht="17.100000000000001" customHeight="1" x14ac:dyDescent="0.4">
      <c r="B92" s="52">
        <v>46059</v>
      </c>
      <c r="C92" s="35">
        <v>2</v>
      </c>
      <c r="D92" s="53"/>
      <c r="E92" s="54" t="e">
        <f>VLOOKUP($D92,'헌금 봉투 번호 (2026)'!$B$2:$E$326,2,FALSE)</f>
        <v>#N/A</v>
      </c>
      <c r="F92" s="54" t="e">
        <f>VLOOKUP($D92,'헌금 봉투 번호 (2026)'!$B$2:$E$326,3,FALSE)</f>
        <v>#N/A</v>
      </c>
      <c r="G92" s="54" t="e">
        <f>VLOOKUP($D92,'헌금 봉투 번호 (2026)'!$B$2:$E$326,4,FALSE)</f>
        <v>#N/A</v>
      </c>
      <c r="H92" s="55" t="s">
        <v>428</v>
      </c>
      <c r="I92" s="13"/>
      <c r="J92" s="13"/>
      <c r="K92" s="11"/>
      <c r="L92" s="13"/>
      <c r="M92" s="13"/>
      <c r="N92" s="11"/>
      <c r="O92" s="13"/>
      <c r="P92" s="13"/>
      <c r="Q92" s="13"/>
      <c r="R92" s="13"/>
      <c r="S92" s="11"/>
      <c r="T92" s="11"/>
      <c r="U92" s="79"/>
      <c r="V92" s="64">
        <f t="shared" si="2"/>
        <v>0</v>
      </c>
    </row>
    <row r="93" spans="2:22" ht="17.100000000000001" customHeight="1" x14ac:dyDescent="0.4">
      <c r="B93" s="52">
        <v>46059</v>
      </c>
      <c r="C93" s="35">
        <v>2</v>
      </c>
      <c r="D93" s="53"/>
      <c r="E93" s="54" t="e">
        <f>VLOOKUP($D93,'헌금 봉투 번호 (2026)'!$B$2:$E$326,2,FALSE)</f>
        <v>#N/A</v>
      </c>
      <c r="F93" s="54" t="e">
        <f>VLOOKUP($D93,'헌금 봉투 번호 (2026)'!$B$2:$E$326,3,FALSE)</f>
        <v>#N/A</v>
      </c>
      <c r="G93" s="54" t="e">
        <f>VLOOKUP($D93,'헌금 봉투 번호 (2026)'!$B$2:$E$326,4,FALSE)</f>
        <v>#N/A</v>
      </c>
      <c r="H93" s="55" t="s">
        <v>428</v>
      </c>
      <c r="I93" s="13"/>
      <c r="J93" s="13"/>
      <c r="K93" s="11"/>
      <c r="L93" s="13"/>
      <c r="M93" s="13"/>
      <c r="N93" s="90"/>
      <c r="O93" s="13"/>
      <c r="P93" s="13"/>
      <c r="Q93" s="13"/>
      <c r="R93" s="13"/>
      <c r="S93" s="11"/>
      <c r="T93" s="11"/>
      <c r="U93" s="92"/>
      <c r="V93" s="64">
        <f t="shared" si="2"/>
        <v>0</v>
      </c>
    </row>
    <row r="94" spans="2:22" ht="17.100000000000001" customHeight="1" x14ac:dyDescent="0.4">
      <c r="B94" s="52">
        <v>46059</v>
      </c>
      <c r="C94" s="35">
        <v>2</v>
      </c>
      <c r="D94" s="53"/>
      <c r="E94" s="55" t="e">
        <f>VLOOKUP($D94,'헌금 봉투 번호 (2026)'!$B$2:$E$326,2,FALSE)</f>
        <v>#N/A</v>
      </c>
      <c r="F94" s="54" t="e">
        <f>VLOOKUP($D94,'헌금 봉투 번호 (2026)'!$B$2:$E$326,3,FALSE)</f>
        <v>#N/A</v>
      </c>
      <c r="G94" s="54" t="e">
        <f>VLOOKUP($D94,'헌금 봉투 번호 (2026)'!$B$2:$E$326,4,FALSE)</f>
        <v>#N/A</v>
      </c>
      <c r="H94" s="55" t="s">
        <v>428</v>
      </c>
      <c r="I94" s="13"/>
      <c r="J94" s="13"/>
      <c r="K94" s="11"/>
      <c r="L94" s="13"/>
      <c r="M94" s="13"/>
      <c r="N94" s="11"/>
      <c r="O94" s="13"/>
      <c r="P94" s="13"/>
      <c r="Q94" s="13"/>
      <c r="R94" s="13"/>
      <c r="S94" s="11"/>
      <c r="T94" s="11"/>
      <c r="U94" s="54"/>
      <c r="V94" s="64">
        <f t="shared" si="2"/>
        <v>0</v>
      </c>
    </row>
    <row r="95" spans="2:22" ht="17.100000000000001" customHeight="1" x14ac:dyDescent="0.4">
      <c r="B95" s="52">
        <v>46059</v>
      </c>
      <c r="C95" s="35">
        <v>2</v>
      </c>
      <c r="D95" s="53"/>
      <c r="E95" s="54" t="e">
        <f>VLOOKUP($D95,'헌금 봉투 번호 (2026)'!$B$2:$E$326,2,FALSE)</f>
        <v>#N/A</v>
      </c>
      <c r="F95" s="54" t="e">
        <f>VLOOKUP($D95,'헌금 봉투 번호 (2026)'!$B$2:$E$326,3,FALSE)</f>
        <v>#N/A</v>
      </c>
      <c r="G95" s="54" t="e">
        <f>VLOOKUP($D95,'헌금 봉투 번호 (2026)'!$B$2:$E$326,4,FALSE)</f>
        <v>#N/A</v>
      </c>
      <c r="H95" s="55" t="s">
        <v>428</v>
      </c>
      <c r="I95" s="13"/>
      <c r="J95" s="13"/>
      <c r="K95" s="11"/>
      <c r="L95" s="13"/>
      <c r="M95" s="13"/>
      <c r="N95" s="11"/>
      <c r="O95" s="11"/>
      <c r="P95" s="11"/>
      <c r="Q95" s="11"/>
      <c r="R95" s="13"/>
      <c r="S95" s="13"/>
      <c r="T95" s="11"/>
      <c r="U95" s="92"/>
      <c r="V95" s="64">
        <f t="shared" si="2"/>
        <v>0</v>
      </c>
    </row>
    <row r="96" spans="2:22" ht="17.100000000000001" customHeight="1" x14ac:dyDescent="0.4">
      <c r="B96" s="52">
        <v>46060</v>
      </c>
      <c r="C96" s="35">
        <v>2</v>
      </c>
      <c r="D96" s="53"/>
      <c r="E96" s="54" t="e">
        <f>VLOOKUP($D96,'헌금 봉투 번호 (2026)'!$B$2:$E$326,2,FALSE)</f>
        <v>#N/A</v>
      </c>
      <c r="F96" s="54" t="e">
        <f>VLOOKUP($D96,'헌금 봉투 번호 (2026)'!$B$2:$E$326,3,FALSE)</f>
        <v>#N/A</v>
      </c>
      <c r="G96" s="54" t="e">
        <f>VLOOKUP($D96,'헌금 봉투 번호 (2026)'!$B$2:$E$326,4,FALSE)</f>
        <v>#N/A</v>
      </c>
      <c r="H96" s="55" t="s">
        <v>428</v>
      </c>
      <c r="I96" s="13"/>
      <c r="J96" s="13"/>
      <c r="K96" s="11"/>
      <c r="L96" s="13"/>
      <c r="M96" s="13"/>
      <c r="N96" s="90"/>
      <c r="O96" s="13"/>
      <c r="P96" s="13"/>
      <c r="Q96" s="13"/>
      <c r="R96" s="13"/>
      <c r="S96" s="11"/>
      <c r="T96" s="11"/>
      <c r="U96" s="92"/>
      <c r="V96" s="64">
        <f t="shared" si="2"/>
        <v>0</v>
      </c>
    </row>
    <row r="97" spans="2:24" ht="17.100000000000001" customHeight="1" x14ac:dyDescent="0.4">
      <c r="B97" s="52">
        <v>46060</v>
      </c>
      <c r="C97" s="35">
        <v>2</v>
      </c>
      <c r="D97" s="53"/>
      <c r="E97" s="55" t="e">
        <f>VLOOKUP($D97,'헌금 봉투 번호 (2026)'!$B$2:$E$326,2,FALSE)</f>
        <v>#N/A</v>
      </c>
      <c r="F97" s="54" t="e">
        <f>VLOOKUP($D97,'헌금 봉투 번호 (2026)'!$B$2:$E$326,3,FALSE)</f>
        <v>#N/A</v>
      </c>
      <c r="G97" s="54" t="e">
        <f>VLOOKUP($D97,'헌금 봉투 번호 (2026)'!$B$2:$E$326,4,FALSE)</f>
        <v>#N/A</v>
      </c>
      <c r="H97" s="55" t="s">
        <v>428</v>
      </c>
      <c r="I97" s="13"/>
      <c r="J97" s="13"/>
      <c r="K97" s="11"/>
      <c r="L97" s="13"/>
      <c r="M97" s="13"/>
      <c r="N97" s="13"/>
      <c r="O97" s="13"/>
      <c r="P97" s="13"/>
      <c r="Q97" s="13"/>
      <c r="R97" s="13"/>
      <c r="S97" s="11"/>
      <c r="T97" s="11"/>
      <c r="U97" s="155"/>
      <c r="V97" s="64">
        <f t="shared" si="2"/>
        <v>0</v>
      </c>
    </row>
    <row r="98" spans="2:24" ht="17.100000000000001" customHeight="1" x14ac:dyDescent="0.4">
      <c r="B98" s="52">
        <v>46060</v>
      </c>
      <c r="C98" s="35">
        <v>2</v>
      </c>
      <c r="D98" s="53"/>
      <c r="E98" s="54" t="e">
        <f>VLOOKUP($D98,'헌금 봉투 번호 (2026)'!$B$2:$E$326,2,FALSE)</f>
        <v>#N/A</v>
      </c>
      <c r="F98" s="54" t="e">
        <f>VLOOKUP($D98,'헌금 봉투 번호 (2026)'!$B$2:$E$326,3,FALSE)</f>
        <v>#N/A</v>
      </c>
      <c r="G98" s="54" t="e">
        <f>VLOOKUP($D98,'헌금 봉투 번호 (2026)'!$B$2:$E$326,4,FALSE)</f>
        <v>#N/A</v>
      </c>
      <c r="H98" s="55" t="s">
        <v>428</v>
      </c>
      <c r="I98" s="13"/>
      <c r="J98" s="13"/>
      <c r="K98" s="11"/>
      <c r="L98" s="13"/>
      <c r="M98" s="13"/>
      <c r="N98" s="89"/>
      <c r="O98" s="13"/>
      <c r="P98" s="13"/>
      <c r="Q98" s="13"/>
      <c r="R98" s="13"/>
      <c r="S98" s="11"/>
      <c r="T98" s="11"/>
      <c r="U98" s="91"/>
      <c r="V98" s="64">
        <f t="shared" si="2"/>
        <v>0</v>
      </c>
    </row>
    <row r="99" spans="2:24" ht="17.100000000000001" customHeight="1" x14ac:dyDescent="0.4">
      <c r="B99" s="52">
        <v>46059</v>
      </c>
      <c r="C99" s="35">
        <v>2</v>
      </c>
      <c r="D99" s="35"/>
      <c r="E99" s="54" t="e">
        <f>VLOOKUP($D99,'헌금 봉투 번호 (2026)'!$B$2:$E$326,2,FALSE)</f>
        <v>#N/A</v>
      </c>
      <c r="F99" s="54" t="e">
        <f>VLOOKUP($D99,'헌금 봉투 번호 (2026)'!$B$2:$E$326,3,FALSE)</f>
        <v>#N/A</v>
      </c>
      <c r="G99" s="54" t="e">
        <f>VLOOKUP($D99,'헌금 봉투 번호 (2026)'!$B$2:$E$326,4,FALSE)</f>
        <v>#N/A</v>
      </c>
      <c r="H99" s="55" t="s">
        <v>428</v>
      </c>
      <c r="I99" s="13"/>
      <c r="J99" s="13"/>
      <c r="K99" s="11"/>
      <c r="L99" s="13"/>
      <c r="M99" s="13"/>
      <c r="N99" s="13"/>
      <c r="O99" s="13"/>
      <c r="P99" s="13"/>
      <c r="Q99" s="13"/>
      <c r="R99" s="13"/>
      <c r="S99" s="11"/>
      <c r="T99" s="11"/>
      <c r="U99" s="24"/>
      <c r="V99" s="64">
        <f t="shared" ref="V99:V120" si="3">SUM(I99:T99)</f>
        <v>0</v>
      </c>
    </row>
    <row r="100" spans="2:24" ht="17.100000000000001" customHeight="1" x14ac:dyDescent="0.4">
      <c r="B100" s="52">
        <v>46059</v>
      </c>
      <c r="C100" s="35">
        <v>2</v>
      </c>
      <c r="D100" s="35"/>
      <c r="E100" s="54" t="e">
        <f>VLOOKUP($D100,'헌금 봉투 번호 (2026)'!$B$2:$E$326,2,FALSE)</f>
        <v>#N/A</v>
      </c>
      <c r="F100" s="54" t="e">
        <f>VLOOKUP($D100,'헌금 봉투 번호 (2026)'!$B$2:$E$326,3,FALSE)</f>
        <v>#N/A</v>
      </c>
      <c r="G100" s="54" t="e">
        <f>VLOOKUP($D100,'헌금 봉투 번호 (2026)'!$B$2:$E$326,4,FALSE)</f>
        <v>#N/A</v>
      </c>
      <c r="H100" s="54" t="s">
        <v>437</v>
      </c>
      <c r="I100" s="13"/>
      <c r="J100" s="13"/>
      <c r="K100" s="11"/>
      <c r="L100" s="13"/>
      <c r="M100" s="13"/>
      <c r="N100" s="13"/>
      <c r="O100" s="11"/>
      <c r="P100" s="11"/>
      <c r="Q100" s="11"/>
      <c r="R100" s="13"/>
      <c r="S100" s="13"/>
      <c r="T100" s="11"/>
      <c r="U100" s="24"/>
      <c r="V100" s="64">
        <f t="shared" si="3"/>
        <v>0</v>
      </c>
    </row>
    <row r="101" spans="2:24" ht="17.100000000000001" customHeight="1" x14ac:dyDescent="0.4">
      <c r="B101" s="52">
        <v>46054</v>
      </c>
      <c r="C101" s="35">
        <v>2</v>
      </c>
      <c r="D101" s="35"/>
      <c r="E101" s="54" t="e">
        <f>VLOOKUP($D101,'헌금 봉투 번호 (2026)'!$B$2:$E$326,2,FALSE)</f>
        <v>#N/A</v>
      </c>
      <c r="F101" s="54" t="e">
        <f>VLOOKUP($D101,'헌금 봉투 번호 (2026)'!$B$2:$E$326,3,FALSE)</f>
        <v>#N/A</v>
      </c>
      <c r="G101" s="54" t="e">
        <f>VLOOKUP($D101,'헌금 봉투 번호 (2026)'!$B$2:$E$326,4,FALSE)</f>
        <v>#N/A</v>
      </c>
      <c r="H101" s="55" t="s">
        <v>428</v>
      </c>
      <c r="I101" s="13"/>
      <c r="J101" s="13"/>
      <c r="K101" s="11"/>
      <c r="L101" s="13"/>
      <c r="M101" s="13"/>
      <c r="N101" s="13"/>
      <c r="O101" s="11"/>
      <c r="P101" s="11"/>
      <c r="Q101" s="11"/>
      <c r="R101" s="13"/>
      <c r="S101" s="13"/>
      <c r="T101" s="11"/>
      <c r="U101" s="24"/>
      <c r="V101" s="64">
        <f t="shared" si="3"/>
        <v>0</v>
      </c>
    </row>
    <row r="102" spans="2:24" ht="17.100000000000001" customHeight="1" x14ac:dyDescent="0.4">
      <c r="B102" s="52">
        <v>46054</v>
      </c>
      <c r="C102" s="35">
        <v>2</v>
      </c>
      <c r="D102" s="35"/>
      <c r="E102" s="54" t="e">
        <f>VLOOKUP($D102,'헌금 봉투 번호 (2026)'!$B$2:$E$326,2,FALSE)</f>
        <v>#N/A</v>
      </c>
      <c r="F102" s="54" t="e">
        <f>VLOOKUP($D102,'헌금 봉투 번호 (2026)'!$B$2:$E$326,3,FALSE)</f>
        <v>#N/A</v>
      </c>
      <c r="G102" s="54" t="e">
        <f>VLOOKUP($D102,'헌금 봉투 번호 (2026)'!$B$2:$E$326,4,FALSE)</f>
        <v>#N/A</v>
      </c>
      <c r="H102" s="55" t="s">
        <v>428</v>
      </c>
      <c r="I102" s="13"/>
      <c r="J102" s="13"/>
      <c r="K102" s="11"/>
      <c r="L102" s="13"/>
      <c r="M102" s="13"/>
      <c r="N102" s="13"/>
      <c r="O102" s="13"/>
      <c r="P102" s="13"/>
      <c r="Q102" s="13"/>
      <c r="R102" s="13"/>
      <c r="S102" s="11"/>
      <c r="T102" s="11"/>
      <c r="U102" s="24"/>
      <c r="V102" s="64">
        <f t="shared" si="3"/>
        <v>0</v>
      </c>
      <c r="X102" s="50"/>
    </row>
    <row r="103" spans="2:24" ht="17.100000000000001" customHeight="1" x14ac:dyDescent="0.4">
      <c r="B103" s="52">
        <v>46054</v>
      </c>
      <c r="C103" s="35">
        <v>2</v>
      </c>
      <c r="D103" s="35"/>
      <c r="E103" s="54" t="e">
        <f>VLOOKUP($D103,'헌금 봉투 번호 (2026)'!$B$2:$E$326,2,FALSE)</f>
        <v>#N/A</v>
      </c>
      <c r="F103" s="54" t="e">
        <f>VLOOKUP($D103,'헌금 봉투 번호 (2026)'!$B$2:$E$326,3,FALSE)</f>
        <v>#N/A</v>
      </c>
      <c r="G103" s="54" t="e">
        <f>VLOOKUP($D103,'헌금 봉투 번호 (2026)'!$B$2:$E$326,4,FALSE)</f>
        <v>#N/A</v>
      </c>
      <c r="H103" s="55" t="s">
        <v>428</v>
      </c>
      <c r="I103" s="13"/>
      <c r="J103" s="13"/>
      <c r="K103" s="11"/>
      <c r="L103" s="13"/>
      <c r="M103" s="13"/>
      <c r="N103" s="13"/>
      <c r="O103" s="13"/>
      <c r="P103" s="13"/>
      <c r="Q103" s="13"/>
      <c r="R103" s="13"/>
      <c r="S103" s="11"/>
      <c r="T103" s="11"/>
      <c r="U103" s="24"/>
      <c r="V103" s="64">
        <f t="shared" si="3"/>
        <v>0</v>
      </c>
      <c r="X103" s="50"/>
    </row>
    <row r="104" spans="2:24" ht="17.100000000000001" customHeight="1" x14ac:dyDescent="0.4">
      <c r="B104" s="52">
        <v>46054</v>
      </c>
      <c r="C104" s="35">
        <v>2</v>
      </c>
      <c r="D104" s="35"/>
      <c r="E104" s="54" t="e">
        <f>VLOOKUP($D104,'헌금 봉투 번호 (2026)'!$B$2:$E$326,2,FALSE)</f>
        <v>#N/A</v>
      </c>
      <c r="F104" s="54" t="e">
        <f>VLOOKUP($D104,'헌금 봉투 번호 (2026)'!$B$2:$E$326,3,FALSE)</f>
        <v>#N/A</v>
      </c>
      <c r="G104" s="54" t="e">
        <f>VLOOKUP($D104,'헌금 봉투 번호 (2026)'!$B$2:$E$326,4,FALSE)</f>
        <v>#N/A</v>
      </c>
      <c r="H104" s="55" t="s">
        <v>428</v>
      </c>
      <c r="I104" s="13"/>
      <c r="J104" s="13"/>
      <c r="K104" s="11"/>
      <c r="L104" s="13"/>
      <c r="M104" s="13"/>
      <c r="N104" s="13"/>
      <c r="O104" s="13"/>
      <c r="P104" s="13"/>
      <c r="Q104" s="13"/>
      <c r="R104" s="13"/>
      <c r="S104" s="11"/>
      <c r="T104" s="11"/>
      <c r="U104" s="24"/>
      <c r="V104" s="64">
        <f t="shared" si="3"/>
        <v>0</v>
      </c>
    </row>
    <row r="105" spans="2:24" ht="17.100000000000001" customHeight="1" x14ac:dyDescent="0.4">
      <c r="B105" s="52">
        <v>46054</v>
      </c>
      <c r="C105" s="35">
        <v>2</v>
      </c>
      <c r="D105" s="35"/>
      <c r="E105" s="54" t="e">
        <f>VLOOKUP($D105,'헌금 봉투 번호 (2026)'!$B$2:$E$326,2,FALSE)</f>
        <v>#N/A</v>
      </c>
      <c r="F105" s="54" t="e">
        <f>VLOOKUP($D105,'헌금 봉투 번호 (2026)'!$B$2:$E$326,3,FALSE)</f>
        <v>#N/A</v>
      </c>
      <c r="G105" s="54" t="e">
        <f>VLOOKUP($D105,'헌금 봉투 번호 (2026)'!$B$2:$E$326,4,FALSE)</f>
        <v>#N/A</v>
      </c>
      <c r="H105" s="55" t="s">
        <v>428</v>
      </c>
      <c r="I105" s="13"/>
      <c r="J105" s="13"/>
      <c r="K105" s="11"/>
      <c r="L105" s="13"/>
      <c r="M105" s="13"/>
      <c r="N105" s="13"/>
      <c r="O105" s="11"/>
      <c r="P105" s="11"/>
      <c r="Q105" s="11"/>
      <c r="R105" s="13"/>
      <c r="S105" s="13"/>
      <c r="T105" s="11"/>
      <c r="U105" s="24"/>
      <c r="V105" s="64">
        <f t="shared" si="3"/>
        <v>0</v>
      </c>
    </row>
    <row r="106" spans="2:24" ht="17.100000000000001" customHeight="1" x14ac:dyDescent="0.4">
      <c r="B106" s="52">
        <v>46054</v>
      </c>
      <c r="C106" s="35">
        <v>2</v>
      </c>
      <c r="D106" s="35"/>
      <c r="E106" s="54" t="e">
        <f>VLOOKUP($D106,'헌금 봉투 번호 (2026)'!$B$2:$E$326,2,FALSE)</f>
        <v>#N/A</v>
      </c>
      <c r="F106" s="54" t="e">
        <f>VLOOKUP($D106,'헌금 봉투 번호 (2026)'!$B$2:$E$326,3,FALSE)</f>
        <v>#N/A</v>
      </c>
      <c r="G106" s="54" t="e">
        <f>VLOOKUP($D106,'헌금 봉투 번호 (2026)'!$B$2:$E$326,4,FALSE)</f>
        <v>#N/A</v>
      </c>
      <c r="H106" s="55" t="s">
        <v>428</v>
      </c>
      <c r="I106" s="13"/>
      <c r="J106" s="13"/>
      <c r="K106" s="11"/>
      <c r="L106" s="13"/>
      <c r="M106" s="13"/>
      <c r="N106" s="11"/>
      <c r="O106" s="13"/>
      <c r="P106" s="13"/>
      <c r="Q106" s="13"/>
      <c r="R106" s="13"/>
      <c r="S106" s="11"/>
      <c r="T106" s="11"/>
      <c r="U106" s="55"/>
      <c r="V106" s="64">
        <f t="shared" si="3"/>
        <v>0</v>
      </c>
      <c r="X106" s="50"/>
    </row>
    <row r="107" spans="2:24" ht="17.100000000000001" customHeight="1" x14ac:dyDescent="0.4">
      <c r="B107" s="52">
        <v>46054</v>
      </c>
      <c r="C107" s="35">
        <v>2</v>
      </c>
      <c r="D107" s="35"/>
      <c r="E107" s="54" t="e">
        <f>VLOOKUP($D107,'헌금 봉투 번호 (2026)'!$B$2:$E$326,2,FALSE)</f>
        <v>#N/A</v>
      </c>
      <c r="F107" s="54" t="e">
        <f>VLOOKUP($D107,'헌금 봉투 번호 (2026)'!$B$2:$E$326,3,FALSE)</f>
        <v>#N/A</v>
      </c>
      <c r="G107" s="54" t="e">
        <f>VLOOKUP($D107,'헌금 봉투 번호 (2026)'!$B$2:$E$326,4,FALSE)</f>
        <v>#N/A</v>
      </c>
      <c r="H107" s="55" t="s">
        <v>428</v>
      </c>
      <c r="I107" s="13"/>
      <c r="J107" s="13"/>
      <c r="K107" s="11"/>
      <c r="L107" s="13"/>
      <c r="M107" s="13"/>
      <c r="N107" s="11"/>
      <c r="O107" s="13"/>
      <c r="P107" s="13"/>
      <c r="Q107" s="13"/>
      <c r="R107" s="13"/>
      <c r="S107" s="11"/>
      <c r="T107" s="11"/>
      <c r="U107" s="55"/>
      <c r="V107" s="64">
        <f t="shared" si="3"/>
        <v>0</v>
      </c>
      <c r="X107" s="50"/>
    </row>
    <row r="108" spans="2:24" ht="17.100000000000001" customHeight="1" x14ac:dyDescent="0.4">
      <c r="B108" s="52">
        <v>46054</v>
      </c>
      <c r="C108" s="35">
        <v>2</v>
      </c>
      <c r="D108" s="35"/>
      <c r="E108" s="54" t="e">
        <f>VLOOKUP($D108,'헌금 봉투 번호 (2026)'!$B$2:$E$326,2,FALSE)</f>
        <v>#N/A</v>
      </c>
      <c r="F108" s="54" t="e">
        <f>VLOOKUP($D108,'헌금 봉투 번호 (2026)'!$B$2:$E$326,3,FALSE)</f>
        <v>#N/A</v>
      </c>
      <c r="G108" s="54" t="e">
        <f>VLOOKUP($D108,'헌금 봉투 번호 (2026)'!$B$2:$E$326,4,FALSE)</f>
        <v>#N/A</v>
      </c>
      <c r="H108" s="55" t="s">
        <v>428</v>
      </c>
      <c r="I108" s="13"/>
      <c r="J108" s="13"/>
      <c r="K108" s="11"/>
      <c r="L108" s="13"/>
      <c r="M108" s="13"/>
      <c r="N108" s="13"/>
      <c r="O108" s="11"/>
      <c r="P108" s="11"/>
      <c r="Q108" s="11"/>
      <c r="R108" s="13"/>
      <c r="S108" s="13"/>
      <c r="T108" s="11"/>
      <c r="U108" s="24"/>
      <c r="V108" s="64">
        <f t="shared" ref="V108:V114" si="4">SUM(I108:T108)</f>
        <v>0</v>
      </c>
    </row>
    <row r="109" spans="2:24" ht="17.100000000000001" customHeight="1" x14ac:dyDescent="0.4">
      <c r="B109" s="52">
        <v>46054</v>
      </c>
      <c r="C109" s="35">
        <v>2</v>
      </c>
      <c r="D109" s="35"/>
      <c r="E109" s="54" t="e">
        <f>VLOOKUP($D109,'헌금 봉투 번호 (2026)'!$B$2:$E$326,2,FALSE)</f>
        <v>#N/A</v>
      </c>
      <c r="F109" s="54" t="e">
        <f>VLOOKUP($D109,'헌금 봉투 번호 (2026)'!$B$2:$E$326,3,FALSE)</f>
        <v>#N/A</v>
      </c>
      <c r="G109" s="54" t="e">
        <f>VLOOKUP($D109,'헌금 봉투 번호 (2026)'!$B$2:$E$326,4,FALSE)</f>
        <v>#N/A</v>
      </c>
      <c r="H109" s="55" t="s">
        <v>428</v>
      </c>
      <c r="I109" s="13"/>
      <c r="J109" s="13"/>
      <c r="K109" s="11"/>
      <c r="L109" s="13"/>
      <c r="M109" s="13"/>
      <c r="N109" s="13"/>
      <c r="O109" s="13"/>
      <c r="P109" s="13"/>
      <c r="Q109" s="13"/>
      <c r="R109" s="13"/>
      <c r="S109" s="11"/>
      <c r="T109" s="11"/>
      <c r="U109" s="24"/>
      <c r="V109" s="64">
        <f t="shared" si="4"/>
        <v>0</v>
      </c>
      <c r="X109" s="50"/>
    </row>
    <row r="110" spans="2:24" ht="17.100000000000001" customHeight="1" x14ac:dyDescent="0.4">
      <c r="B110" s="52">
        <v>46054</v>
      </c>
      <c r="C110" s="35">
        <v>2</v>
      </c>
      <c r="D110" s="35"/>
      <c r="E110" s="54" t="e">
        <f>VLOOKUP($D110,'헌금 봉투 번호 (2026)'!$B$2:$E$326,2,FALSE)</f>
        <v>#N/A</v>
      </c>
      <c r="F110" s="54" t="e">
        <f>VLOOKUP($D110,'헌금 봉투 번호 (2026)'!$B$2:$E$326,3,FALSE)</f>
        <v>#N/A</v>
      </c>
      <c r="G110" s="54" t="e">
        <f>VLOOKUP($D110,'헌금 봉투 번호 (2026)'!$B$2:$E$326,4,FALSE)</f>
        <v>#N/A</v>
      </c>
      <c r="H110" s="55" t="s">
        <v>428</v>
      </c>
      <c r="I110" s="13"/>
      <c r="J110" s="13"/>
      <c r="K110" s="11"/>
      <c r="L110" s="13"/>
      <c r="M110" s="13"/>
      <c r="N110" s="13"/>
      <c r="O110" s="13"/>
      <c r="P110" s="13"/>
      <c r="Q110" s="13"/>
      <c r="R110" s="13"/>
      <c r="S110" s="11"/>
      <c r="T110" s="11"/>
      <c r="U110" s="24"/>
      <c r="V110" s="64">
        <f t="shared" si="4"/>
        <v>0</v>
      </c>
      <c r="X110" s="50"/>
    </row>
    <row r="111" spans="2:24" ht="17.100000000000001" customHeight="1" x14ac:dyDescent="0.4">
      <c r="B111" s="52">
        <v>46054</v>
      </c>
      <c r="C111" s="35">
        <v>2</v>
      </c>
      <c r="D111" s="35"/>
      <c r="E111" s="54" t="e">
        <f>VLOOKUP($D111,'헌금 봉투 번호 (2026)'!$B$2:$E$326,2,FALSE)</f>
        <v>#N/A</v>
      </c>
      <c r="F111" s="54" t="e">
        <f>VLOOKUP($D111,'헌금 봉투 번호 (2026)'!$B$2:$E$326,3,FALSE)</f>
        <v>#N/A</v>
      </c>
      <c r="G111" s="54" t="e">
        <f>VLOOKUP($D111,'헌금 봉투 번호 (2026)'!$B$2:$E$326,4,FALSE)</f>
        <v>#N/A</v>
      </c>
      <c r="H111" s="55" t="s">
        <v>428</v>
      </c>
      <c r="I111" s="13"/>
      <c r="J111" s="13"/>
      <c r="K111" s="11"/>
      <c r="L111" s="13"/>
      <c r="M111" s="13"/>
      <c r="N111" s="13"/>
      <c r="O111" s="13"/>
      <c r="P111" s="13"/>
      <c r="Q111" s="13"/>
      <c r="R111" s="13"/>
      <c r="S111" s="11"/>
      <c r="T111" s="11"/>
      <c r="U111" s="24"/>
      <c r="V111" s="64">
        <f t="shared" si="4"/>
        <v>0</v>
      </c>
    </row>
    <row r="112" spans="2:24" ht="17.100000000000001" customHeight="1" x14ac:dyDescent="0.4">
      <c r="B112" s="52">
        <v>46054</v>
      </c>
      <c r="C112" s="35">
        <v>2</v>
      </c>
      <c r="D112" s="35"/>
      <c r="E112" s="54" t="e">
        <f>VLOOKUP($D112,'헌금 봉투 번호 (2026)'!$B$2:$E$326,2,FALSE)</f>
        <v>#N/A</v>
      </c>
      <c r="F112" s="54" t="e">
        <f>VLOOKUP($D112,'헌금 봉투 번호 (2026)'!$B$2:$E$326,3,FALSE)</f>
        <v>#N/A</v>
      </c>
      <c r="G112" s="54" t="e">
        <f>VLOOKUP($D112,'헌금 봉투 번호 (2026)'!$B$2:$E$326,4,FALSE)</f>
        <v>#N/A</v>
      </c>
      <c r="H112" s="55" t="s">
        <v>428</v>
      </c>
      <c r="I112" s="13"/>
      <c r="J112" s="13"/>
      <c r="K112" s="11"/>
      <c r="L112" s="13"/>
      <c r="M112" s="13"/>
      <c r="N112" s="13"/>
      <c r="O112" s="11"/>
      <c r="P112" s="11"/>
      <c r="Q112" s="11"/>
      <c r="R112" s="13"/>
      <c r="S112" s="13"/>
      <c r="T112" s="11"/>
      <c r="U112" s="24"/>
      <c r="V112" s="64">
        <f t="shared" si="4"/>
        <v>0</v>
      </c>
    </row>
    <row r="113" spans="2:24" ht="17.100000000000001" customHeight="1" x14ac:dyDescent="0.4">
      <c r="B113" s="52">
        <v>46054</v>
      </c>
      <c r="C113" s="35">
        <v>2</v>
      </c>
      <c r="D113" s="35"/>
      <c r="E113" s="54" t="e">
        <f>VLOOKUP($D113,'헌금 봉투 번호 (2026)'!$B$2:$E$326,2,FALSE)</f>
        <v>#N/A</v>
      </c>
      <c r="F113" s="54" t="e">
        <f>VLOOKUP($D113,'헌금 봉투 번호 (2026)'!$B$2:$E$326,3,FALSE)</f>
        <v>#N/A</v>
      </c>
      <c r="G113" s="54" t="e">
        <f>VLOOKUP($D113,'헌금 봉투 번호 (2026)'!$B$2:$E$326,4,FALSE)</f>
        <v>#N/A</v>
      </c>
      <c r="H113" s="55" t="s">
        <v>428</v>
      </c>
      <c r="I113" s="13"/>
      <c r="J113" s="13"/>
      <c r="K113" s="11"/>
      <c r="L113" s="13"/>
      <c r="M113" s="13"/>
      <c r="N113" s="11"/>
      <c r="O113" s="13"/>
      <c r="P113" s="13"/>
      <c r="Q113" s="13"/>
      <c r="R113" s="13"/>
      <c r="S113" s="11"/>
      <c r="T113" s="11"/>
      <c r="U113" s="55"/>
      <c r="V113" s="64">
        <f t="shared" si="4"/>
        <v>0</v>
      </c>
      <c r="X113" s="50"/>
    </row>
    <row r="114" spans="2:24" ht="17.100000000000001" customHeight="1" x14ac:dyDescent="0.4">
      <c r="B114" s="52">
        <v>46054</v>
      </c>
      <c r="C114" s="35">
        <v>2</v>
      </c>
      <c r="D114" s="35"/>
      <c r="E114" s="54" t="e">
        <f>VLOOKUP($D114,'헌금 봉투 번호 (2026)'!$B$2:$E$326,2,FALSE)</f>
        <v>#N/A</v>
      </c>
      <c r="F114" s="54" t="e">
        <f>VLOOKUP($D114,'헌금 봉투 번호 (2026)'!$B$2:$E$326,3,FALSE)</f>
        <v>#N/A</v>
      </c>
      <c r="G114" s="54" t="e">
        <f>VLOOKUP($D114,'헌금 봉투 번호 (2026)'!$B$2:$E$326,4,FALSE)</f>
        <v>#N/A</v>
      </c>
      <c r="H114" s="55" t="s">
        <v>428</v>
      </c>
      <c r="I114" s="13"/>
      <c r="J114" s="13"/>
      <c r="K114" s="11"/>
      <c r="L114" s="13"/>
      <c r="M114" s="13"/>
      <c r="N114" s="11"/>
      <c r="O114" s="13"/>
      <c r="P114" s="13"/>
      <c r="Q114" s="13"/>
      <c r="R114" s="13"/>
      <c r="S114" s="11"/>
      <c r="T114" s="11"/>
      <c r="U114" s="55"/>
      <c r="V114" s="64">
        <f t="shared" si="4"/>
        <v>0</v>
      </c>
      <c r="X114" s="50"/>
    </row>
    <row r="115" spans="2:24" ht="17.100000000000001" customHeight="1" x14ac:dyDescent="0.4">
      <c r="B115" s="52">
        <v>46054</v>
      </c>
      <c r="C115" s="35">
        <v>2</v>
      </c>
      <c r="D115" s="35"/>
      <c r="E115" s="54" t="e">
        <f>VLOOKUP($D115,'헌금 봉투 번호 (2026)'!$B$2:$E$326,2,FALSE)</f>
        <v>#N/A</v>
      </c>
      <c r="F115" s="54" t="e">
        <f>VLOOKUP($D115,'헌금 봉투 번호 (2026)'!$B$2:$E$326,3,FALSE)</f>
        <v>#N/A</v>
      </c>
      <c r="G115" s="54" t="e">
        <f>VLOOKUP($D115,'헌금 봉투 번호 (2026)'!$B$2:$E$326,4,FALSE)</f>
        <v>#N/A</v>
      </c>
      <c r="H115" s="55" t="s">
        <v>428</v>
      </c>
      <c r="I115" s="13"/>
      <c r="J115" s="13"/>
      <c r="K115" s="11"/>
      <c r="L115" s="13"/>
      <c r="M115" s="13"/>
      <c r="N115" s="13"/>
      <c r="O115" s="13"/>
      <c r="P115" s="13"/>
      <c r="Q115" s="13"/>
      <c r="R115" s="13"/>
      <c r="S115" s="11"/>
      <c r="T115" s="11"/>
      <c r="U115" s="55"/>
      <c r="V115" s="64">
        <f t="shared" ref="V115:V118" si="5">SUM(I115:T115)</f>
        <v>0</v>
      </c>
    </row>
    <row r="116" spans="2:24" ht="17.100000000000001" customHeight="1" x14ac:dyDescent="0.4">
      <c r="B116" s="52">
        <v>46054</v>
      </c>
      <c r="C116" s="35">
        <v>2</v>
      </c>
      <c r="D116" s="35"/>
      <c r="E116" s="54" t="e">
        <f>VLOOKUP($D116,'헌금 봉투 번호 (2026)'!$B$2:$E$326,2,FALSE)</f>
        <v>#N/A</v>
      </c>
      <c r="F116" s="54" t="e">
        <f>VLOOKUP($D116,'헌금 봉투 번호 (2026)'!$B$2:$E$326,3,FALSE)</f>
        <v>#N/A</v>
      </c>
      <c r="G116" s="54" t="e">
        <f>VLOOKUP($D116,'헌금 봉투 번호 (2026)'!$B$2:$E$326,4,FALSE)</f>
        <v>#N/A</v>
      </c>
      <c r="H116" s="55" t="s">
        <v>428</v>
      </c>
      <c r="I116" s="13"/>
      <c r="J116" s="13"/>
      <c r="K116" s="11"/>
      <c r="L116" s="13"/>
      <c r="M116" s="13"/>
      <c r="N116" s="13"/>
      <c r="O116" s="11"/>
      <c r="P116" s="11"/>
      <c r="Q116" s="11"/>
      <c r="R116" s="13"/>
      <c r="S116" s="13"/>
      <c r="T116" s="11"/>
      <c r="U116" s="24"/>
      <c r="V116" s="64">
        <f t="shared" si="5"/>
        <v>0</v>
      </c>
    </row>
    <row r="117" spans="2:24" ht="17.100000000000001" customHeight="1" x14ac:dyDescent="0.4">
      <c r="B117" s="52">
        <v>46054</v>
      </c>
      <c r="C117" s="35">
        <v>2</v>
      </c>
      <c r="D117" s="35"/>
      <c r="E117" s="54" t="e">
        <f>VLOOKUP($D117,'헌금 봉투 번호 (2026)'!$B$2:$E$326,2,FALSE)</f>
        <v>#N/A</v>
      </c>
      <c r="F117" s="54" t="e">
        <f>VLOOKUP($D117,'헌금 봉투 번호 (2026)'!$B$2:$E$326,3,FALSE)</f>
        <v>#N/A</v>
      </c>
      <c r="G117" s="54" t="e">
        <f>VLOOKUP($D117,'헌금 봉투 번호 (2026)'!$B$2:$E$326,4,FALSE)</f>
        <v>#N/A</v>
      </c>
      <c r="H117" s="55" t="s">
        <v>428</v>
      </c>
      <c r="I117" s="13"/>
      <c r="J117" s="13"/>
      <c r="K117" s="11"/>
      <c r="L117" s="13"/>
      <c r="M117" s="13"/>
      <c r="N117" s="11"/>
      <c r="O117" s="13"/>
      <c r="P117" s="13"/>
      <c r="Q117" s="13"/>
      <c r="R117" s="13"/>
      <c r="S117" s="11"/>
      <c r="T117" s="11"/>
      <c r="U117" s="55"/>
      <c r="V117" s="64">
        <f t="shared" si="5"/>
        <v>0</v>
      </c>
      <c r="X117" s="50"/>
    </row>
    <row r="118" spans="2:24" ht="17.100000000000001" customHeight="1" x14ac:dyDescent="0.4">
      <c r="B118" s="52">
        <v>46054</v>
      </c>
      <c r="C118" s="35">
        <v>2</v>
      </c>
      <c r="D118" s="35"/>
      <c r="E118" s="54" t="e">
        <f>VLOOKUP($D118,'헌금 봉투 번호 (2026)'!$B$2:$E$326,2,FALSE)</f>
        <v>#N/A</v>
      </c>
      <c r="F118" s="54" t="e">
        <f>VLOOKUP($D118,'헌금 봉투 번호 (2026)'!$B$2:$E$326,3,FALSE)</f>
        <v>#N/A</v>
      </c>
      <c r="G118" s="54" t="e">
        <f>VLOOKUP($D118,'헌금 봉투 번호 (2026)'!$B$2:$E$326,4,FALSE)</f>
        <v>#N/A</v>
      </c>
      <c r="H118" s="55" t="s">
        <v>428</v>
      </c>
      <c r="I118" s="13"/>
      <c r="J118" s="13"/>
      <c r="K118" s="11"/>
      <c r="L118" s="13"/>
      <c r="M118" s="13"/>
      <c r="N118" s="11"/>
      <c r="O118" s="13"/>
      <c r="P118" s="13"/>
      <c r="Q118" s="13"/>
      <c r="R118" s="13"/>
      <c r="S118" s="11"/>
      <c r="T118" s="11"/>
      <c r="U118" s="55"/>
      <c r="V118" s="64">
        <f t="shared" si="5"/>
        <v>0</v>
      </c>
      <c r="X118" s="50"/>
    </row>
    <row r="119" spans="2:24" ht="15.75" customHeight="1" x14ac:dyDescent="0.4">
      <c r="B119" s="52">
        <v>46054</v>
      </c>
      <c r="C119" s="35">
        <v>2</v>
      </c>
      <c r="D119" s="53"/>
      <c r="E119" s="54" t="e">
        <f>VLOOKUP($D119,'헌금 봉투 번호 (2026)'!$B$2:$E$326,2,FALSE)</f>
        <v>#N/A</v>
      </c>
      <c r="F119" s="54" t="e">
        <f>VLOOKUP($D119,'헌금 봉투 번호 (2026)'!$B$2:$E$326,3,FALSE)</f>
        <v>#N/A</v>
      </c>
      <c r="G119" s="54" t="e">
        <f>VLOOKUP($D119,'헌금 봉투 번호 (2026)'!$B$2:$E$326,4,FALSE)</f>
        <v>#N/A</v>
      </c>
      <c r="H119" s="55" t="s">
        <v>428</v>
      </c>
      <c r="I119" s="13"/>
      <c r="J119" s="13"/>
      <c r="K119" s="11"/>
      <c r="L119" s="13"/>
      <c r="M119" s="13"/>
      <c r="N119" s="11"/>
      <c r="O119" s="13"/>
      <c r="P119" s="13"/>
      <c r="Q119" s="13"/>
      <c r="R119" s="13"/>
      <c r="S119" s="11"/>
      <c r="T119" s="11"/>
      <c r="U119" s="24"/>
      <c r="V119" s="64">
        <f t="shared" si="3"/>
        <v>0</v>
      </c>
    </row>
    <row r="120" spans="2:24" ht="7.95" customHeight="1" thickBot="1" x14ac:dyDescent="0.45">
      <c r="B120" s="63"/>
      <c r="C120" s="62"/>
      <c r="D120" s="62"/>
      <c r="E120" s="61"/>
      <c r="F120" s="61"/>
      <c r="G120" s="61"/>
      <c r="H120" s="61"/>
      <c r="I120" s="15"/>
      <c r="J120" s="14"/>
      <c r="K120" s="17"/>
      <c r="L120" s="14"/>
      <c r="M120" s="14"/>
      <c r="N120" s="16"/>
      <c r="O120" s="14"/>
      <c r="P120" s="14"/>
      <c r="Q120" s="14"/>
      <c r="R120" s="14"/>
      <c r="S120" s="16"/>
      <c r="T120" s="16"/>
      <c r="U120" s="17"/>
      <c r="V120" s="60">
        <f t="shared" si="3"/>
        <v>0</v>
      </c>
    </row>
    <row r="121" spans="2:24" ht="13.8" thickBot="1" x14ac:dyDescent="0.45"/>
    <row r="122" spans="2:24" ht="31.5" customHeight="1" thickBot="1" x14ac:dyDescent="0.45">
      <c r="B122" s="166" t="str">
        <f>B1</f>
        <v>2026년 2월 1~7 헌금</v>
      </c>
      <c r="C122" s="167"/>
      <c r="D122" s="167"/>
      <c r="E122" s="167"/>
      <c r="F122" s="168" t="s">
        <v>435</v>
      </c>
      <c r="G122" s="169"/>
      <c r="H122" s="81"/>
      <c r="I122" s="21">
        <f>SUM(I3:I120)</f>
        <v>0</v>
      </c>
      <c r="J122" s="21">
        <f>SUM(J3:J120)</f>
        <v>0</v>
      </c>
      <c r="K122" s="21">
        <f t="shared" ref="K122:T122" si="6">SUM(K3:K120)</f>
        <v>0</v>
      </c>
      <c r="L122" s="21">
        <f t="shared" si="6"/>
        <v>0</v>
      </c>
      <c r="M122" s="21">
        <f t="shared" si="6"/>
        <v>0</v>
      </c>
      <c r="N122" s="21">
        <f t="shared" si="6"/>
        <v>0</v>
      </c>
      <c r="O122" s="21">
        <f t="shared" si="6"/>
        <v>0</v>
      </c>
      <c r="P122" s="21">
        <f t="shared" si="6"/>
        <v>0</v>
      </c>
      <c r="Q122" s="21">
        <f t="shared" si="6"/>
        <v>0</v>
      </c>
      <c r="R122" s="21">
        <f t="shared" si="6"/>
        <v>0</v>
      </c>
      <c r="S122" s="21">
        <f>SUM(S3:S120)</f>
        <v>0</v>
      </c>
      <c r="T122" s="21">
        <f t="shared" si="6"/>
        <v>0</v>
      </c>
      <c r="U122" s="21"/>
      <c r="V122" s="22">
        <f>SUM(V3:V120)</f>
        <v>0</v>
      </c>
    </row>
    <row r="123" spans="2:24" x14ac:dyDescent="0.4">
      <c r="J123" s="88"/>
      <c r="V123" s="83"/>
    </row>
    <row r="124" spans="2:24" x14ac:dyDescent="0.4">
      <c r="I124" s="2"/>
      <c r="U124" s="2"/>
      <c r="V124" s="2"/>
    </row>
    <row r="125" spans="2:24" x14ac:dyDescent="0.4"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>
        <f t="shared" ref="T125" si="7">T122-T124</f>
        <v>0</v>
      </c>
      <c r="U125" s="20"/>
      <c r="V125" s="20"/>
    </row>
    <row r="136" spans="7:22" x14ac:dyDescent="0.4">
      <c r="V136" s="93">
        <f>V138-V137</f>
        <v>0</v>
      </c>
    </row>
    <row r="137" spans="7:22" x14ac:dyDescent="0.4">
      <c r="M137" s="59"/>
      <c r="V137" s="83"/>
    </row>
    <row r="138" spans="7:22" x14ac:dyDescent="0.4">
      <c r="G138" s="57" t="s">
        <v>436</v>
      </c>
      <c r="H138" s="57"/>
      <c r="I138" s="58">
        <f t="shared" ref="I138:V138" si="8">SUM(I3:I58)</f>
        <v>0</v>
      </c>
      <c r="J138" s="58">
        <f t="shared" si="8"/>
        <v>0</v>
      </c>
      <c r="K138" s="58">
        <f t="shared" si="8"/>
        <v>0</v>
      </c>
      <c r="L138" s="58">
        <f t="shared" si="8"/>
        <v>0</v>
      </c>
      <c r="M138" s="58">
        <f t="shared" si="8"/>
        <v>0</v>
      </c>
      <c r="N138" s="58">
        <f t="shared" si="8"/>
        <v>0</v>
      </c>
      <c r="O138" s="58">
        <f t="shared" si="8"/>
        <v>0</v>
      </c>
      <c r="P138" s="58">
        <f t="shared" si="8"/>
        <v>0</v>
      </c>
      <c r="Q138" s="58">
        <f t="shared" si="8"/>
        <v>0</v>
      </c>
      <c r="R138" s="58">
        <f t="shared" si="8"/>
        <v>0</v>
      </c>
      <c r="S138" s="58">
        <f>SUM(S3:S58)</f>
        <v>0</v>
      </c>
      <c r="T138" s="58">
        <f t="shared" si="8"/>
        <v>0</v>
      </c>
      <c r="U138" s="58">
        <f t="shared" si="8"/>
        <v>0</v>
      </c>
      <c r="V138" s="58">
        <f t="shared" si="8"/>
        <v>0</v>
      </c>
    </row>
    <row r="139" spans="7:22" x14ac:dyDescent="0.4">
      <c r="G139" s="57" t="s">
        <v>428</v>
      </c>
      <c r="H139" s="57"/>
      <c r="I139" s="34">
        <f t="shared" ref="I139:V139" si="9">SUM(I59:I119)</f>
        <v>0</v>
      </c>
      <c r="J139" s="34">
        <f t="shared" si="9"/>
        <v>0</v>
      </c>
      <c r="K139" s="34">
        <f t="shared" si="9"/>
        <v>0</v>
      </c>
      <c r="L139" s="34">
        <f t="shared" si="9"/>
        <v>0</v>
      </c>
      <c r="M139" s="34">
        <f t="shared" si="9"/>
        <v>0</v>
      </c>
      <c r="N139" s="34">
        <f t="shared" si="9"/>
        <v>0</v>
      </c>
      <c r="O139" s="34">
        <f t="shared" si="9"/>
        <v>0</v>
      </c>
      <c r="P139" s="34">
        <f t="shared" si="9"/>
        <v>0</v>
      </c>
      <c r="Q139" s="34">
        <f t="shared" si="9"/>
        <v>0</v>
      </c>
      <c r="R139" s="34">
        <f t="shared" si="9"/>
        <v>0</v>
      </c>
      <c r="S139" s="34">
        <f>SUM(S59:S119)</f>
        <v>0</v>
      </c>
      <c r="T139" s="34">
        <f t="shared" si="9"/>
        <v>0</v>
      </c>
      <c r="U139" s="34">
        <f t="shared" si="9"/>
        <v>0</v>
      </c>
      <c r="V139" s="34">
        <f t="shared" si="9"/>
        <v>0</v>
      </c>
    </row>
    <row r="149" spans="2:24" s="2" customFormat="1" x14ac:dyDescent="0.4">
      <c r="B149" s="18"/>
      <c r="C149" s="19"/>
      <c r="D149" s="19"/>
      <c r="E149" s="19"/>
      <c r="F149" s="19"/>
      <c r="G149" s="19"/>
      <c r="H149" s="19"/>
      <c r="I149" s="20"/>
      <c r="K149" s="88"/>
      <c r="U149" s="3"/>
      <c r="V149" s="1"/>
      <c r="W149" s="1"/>
      <c r="X149" s="1"/>
    </row>
    <row r="150" spans="2:24" s="2" customFormat="1" x14ac:dyDescent="0.4">
      <c r="B150" s="18"/>
      <c r="C150" s="19"/>
      <c r="D150" s="19"/>
      <c r="E150" s="19"/>
      <c r="F150" s="19"/>
      <c r="G150" s="19"/>
      <c r="H150" s="19"/>
      <c r="I150" s="20"/>
      <c r="K150" s="88"/>
      <c r="U150" s="3"/>
      <c r="V150" s="1"/>
      <c r="W150" s="1"/>
      <c r="X150" s="1"/>
    </row>
    <row r="151" spans="2:24" s="2" customFormat="1" x14ac:dyDescent="0.4">
      <c r="B151" s="18"/>
      <c r="C151" s="19"/>
      <c r="D151" s="19"/>
      <c r="E151" s="19"/>
      <c r="F151" s="19"/>
      <c r="G151" s="19"/>
      <c r="H151" s="19"/>
      <c r="I151" s="20"/>
      <c r="K151" s="88"/>
      <c r="U151" s="3"/>
      <c r="V151" s="1"/>
      <c r="W151" s="1"/>
      <c r="X151" s="1"/>
    </row>
    <row r="152" spans="2:24" s="2" customFormat="1" x14ac:dyDescent="0.4">
      <c r="B152" s="18"/>
      <c r="C152" s="19"/>
      <c r="D152" s="19"/>
      <c r="E152" s="19"/>
      <c r="F152" s="19"/>
      <c r="G152" s="19"/>
      <c r="H152" s="19"/>
      <c r="I152" s="20"/>
      <c r="K152" s="88"/>
      <c r="U152" s="3"/>
      <c r="V152" s="1"/>
      <c r="W152" s="1"/>
      <c r="X152" s="1"/>
    </row>
    <row r="153" spans="2:24" s="2" customFormat="1" x14ac:dyDescent="0.4">
      <c r="B153" s="18"/>
      <c r="C153" s="19"/>
      <c r="D153" s="19"/>
      <c r="E153" s="19"/>
      <c r="F153" s="19"/>
      <c r="G153" s="19"/>
      <c r="H153" s="19"/>
      <c r="I153" s="20"/>
      <c r="K153" s="88"/>
      <c r="U153" s="3"/>
      <c r="V153" s="1"/>
      <c r="W153" s="1"/>
      <c r="X153" s="1"/>
    </row>
    <row r="154" spans="2:24" s="2" customFormat="1" x14ac:dyDescent="0.4">
      <c r="B154" s="18"/>
      <c r="C154" s="19"/>
      <c r="D154" s="19"/>
      <c r="E154" s="19"/>
      <c r="F154" s="19"/>
      <c r="G154" s="19"/>
      <c r="H154" s="19"/>
      <c r="I154" s="20"/>
      <c r="K154" s="88"/>
      <c r="U154" s="3"/>
      <c r="V154" s="1"/>
      <c r="W154" s="1"/>
      <c r="X154" s="1"/>
    </row>
    <row r="155" spans="2:24" s="2" customFormat="1" x14ac:dyDescent="0.4">
      <c r="B155" s="18"/>
      <c r="C155" s="19"/>
      <c r="D155" s="19"/>
      <c r="E155" s="19"/>
      <c r="F155" s="19"/>
      <c r="G155" s="19"/>
      <c r="H155" s="19"/>
      <c r="I155" s="20"/>
      <c r="K155" s="88"/>
      <c r="U155" s="3"/>
      <c r="V155" s="1"/>
      <c r="W155" s="1"/>
      <c r="X155" s="1"/>
    </row>
    <row r="156" spans="2:24" s="2" customFormat="1" x14ac:dyDescent="0.4">
      <c r="B156" s="18"/>
      <c r="C156" s="19"/>
      <c r="D156" s="19"/>
      <c r="E156" s="19"/>
      <c r="F156" s="19"/>
      <c r="G156" s="19"/>
      <c r="H156" s="19"/>
      <c r="I156" s="20"/>
      <c r="K156" s="88"/>
      <c r="U156" s="3"/>
      <c r="V156" s="1"/>
      <c r="W156" s="1"/>
      <c r="X156" s="1"/>
    </row>
    <row r="157" spans="2:24" s="2" customFormat="1" x14ac:dyDescent="0.4">
      <c r="B157" s="18"/>
      <c r="C157" s="19"/>
      <c r="D157" s="19"/>
      <c r="E157" s="19"/>
      <c r="F157" s="19"/>
      <c r="G157" s="19"/>
      <c r="H157" s="19"/>
      <c r="I157" s="20"/>
      <c r="K157" s="88"/>
      <c r="U157" s="3"/>
      <c r="V157" s="1"/>
      <c r="W157" s="1"/>
      <c r="X157" s="1"/>
    </row>
    <row r="158" spans="2:24" s="2" customFormat="1" x14ac:dyDescent="0.4">
      <c r="B158" s="18"/>
      <c r="C158" s="19"/>
      <c r="D158" s="19"/>
      <c r="E158" s="19"/>
      <c r="F158" s="19"/>
      <c r="G158" s="19"/>
      <c r="H158" s="19"/>
      <c r="I158" s="20"/>
      <c r="K158" s="88"/>
      <c r="U158" s="3"/>
      <c r="V158" s="1"/>
      <c r="W158" s="1"/>
      <c r="X158" s="1"/>
    </row>
    <row r="159" spans="2:24" s="2" customFormat="1" x14ac:dyDescent="0.4">
      <c r="B159" s="18"/>
      <c r="C159" s="19"/>
      <c r="D159" s="19"/>
      <c r="E159" s="19"/>
      <c r="F159" s="19"/>
      <c r="G159" s="19"/>
      <c r="H159" s="19"/>
      <c r="I159" s="20"/>
      <c r="K159" s="88"/>
      <c r="U159" s="3"/>
      <c r="V159" s="1"/>
      <c r="W159" s="1"/>
      <c r="X159" s="1"/>
    </row>
    <row r="160" spans="2:24" s="2" customFormat="1" x14ac:dyDescent="0.4">
      <c r="B160" s="18"/>
      <c r="C160" s="19"/>
      <c r="D160" s="19"/>
      <c r="E160" s="19"/>
      <c r="F160" s="19"/>
      <c r="G160" s="19"/>
      <c r="H160" s="19"/>
      <c r="I160" s="20"/>
      <c r="K160" s="88"/>
      <c r="U160" s="3"/>
      <c r="V160" s="1"/>
      <c r="W160" s="1"/>
      <c r="X160" s="1"/>
    </row>
    <row r="161" spans="2:24" s="2" customFormat="1" x14ac:dyDescent="0.4">
      <c r="B161" s="18"/>
      <c r="C161" s="19"/>
      <c r="D161" s="19"/>
      <c r="E161" s="19"/>
      <c r="F161" s="19"/>
      <c r="G161" s="19"/>
      <c r="H161" s="19"/>
      <c r="I161" s="20"/>
      <c r="K161" s="88"/>
      <c r="U161" s="3"/>
      <c r="V161" s="1"/>
      <c r="W161" s="1"/>
      <c r="X161" s="1"/>
    </row>
    <row r="162" spans="2:24" s="2" customFormat="1" x14ac:dyDescent="0.4">
      <c r="B162" s="18"/>
      <c r="C162" s="19"/>
      <c r="D162" s="19"/>
      <c r="E162" s="19"/>
      <c r="F162" s="19"/>
      <c r="G162" s="19"/>
      <c r="H162" s="19"/>
      <c r="I162" s="20"/>
      <c r="K162" s="88"/>
      <c r="U162" s="3"/>
      <c r="V162" s="1"/>
      <c r="W162" s="1"/>
      <c r="X162" s="1"/>
    </row>
    <row r="163" spans="2:24" s="2" customFormat="1" x14ac:dyDescent="0.4">
      <c r="B163" s="18"/>
      <c r="C163" s="19"/>
      <c r="D163" s="19"/>
      <c r="E163" s="19"/>
      <c r="F163" s="19"/>
      <c r="G163" s="19"/>
      <c r="H163" s="19"/>
      <c r="I163" s="20"/>
      <c r="K163" s="88"/>
      <c r="U163" s="3"/>
      <c r="V163" s="1"/>
      <c r="W163" s="1"/>
      <c r="X163" s="1"/>
    </row>
    <row r="164" spans="2:24" s="2" customFormat="1" x14ac:dyDescent="0.4">
      <c r="B164" s="18"/>
      <c r="C164" s="19"/>
      <c r="D164" s="19"/>
      <c r="E164" s="19"/>
      <c r="F164" s="19"/>
      <c r="G164" s="19"/>
      <c r="H164" s="19"/>
      <c r="I164" s="20"/>
      <c r="K164" s="88"/>
      <c r="U164" s="3"/>
      <c r="V164" s="1"/>
      <c r="W164" s="1"/>
      <c r="X164" s="1"/>
    </row>
    <row r="165" spans="2:24" s="2" customFormat="1" x14ac:dyDescent="0.4">
      <c r="B165" s="18"/>
      <c r="C165" s="19"/>
      <c r="D165" s="19"/>
      <c r="E165" s="19"/>
      <c r="F165" s="19"/>
      <c r="G165" s="19"/>
      <c r="H165" s="19"/>
      <c r="I165" s="20"/>
      <c r="K165" s="88"/>
      <c r="U165" s="3"/>
      <c r="V165" s="1"/>
      <c r="W165" s="1"/>
      <c r="X165" s="1"/>
    </row>
    <row r="166" spans="2:24" s="2" customFormat="1" x14ac:dyDescent="0.4">
      <c r="B166" s="18"/>
      <c r="C166" s="19"/>
      <c r="D166" s="19"/>
      <c r="E166" s="19"/>
      <c r="F166" s="19"/>
      <c r="G166" s="19"/>
      <c r="H166" s="19"/>
      <c r="I166" s="20"/>
      <c r="K166" s="88"/>
      <c r="U166" s="3"/>
      <c r="V166" s="1"/>
      <c r="W166" s="1"/>
      <c r="X166" s="1"/>
    </row>
    <row r="167" spans="2:24" s="2" customFormat="1" x14ac:dyDescent="0.4">
      <c r="B167" s="18"/>
      <c r="C167" s="19"/>
      <c r="D167" s="19"/>
      <c r="E167" s="19"/>
      <c r="F167" s="19"/>
      <c r="G167" s="19"/>
      <c r="H167" s="19"/>
      <c r="I167" s="20"/>
      <c r="K167" s="88"/>
      <c r="U167" s="3"/>
      <c r="V167" s="1"/>
      <c r="W167" s="1"/>
      <c r="X167" s="1"/>
    </row>
    <row r="168" spans="2:24" s="2" customFormat="1" x14ac:dyDescent="0.4">
      <c r="B168" s="18"/>
      <c r="C168" s="19"/>
      <c r="D168" s="19"/>
      <c r="E168" s="19"/>
      <c r="F168" s="19"/>
      <c r="G168" s="19"/>
      <c r="H168" s="19"/>
      <c r="I168" s="20"/>
      <c r="K168" s="88"/>
      <c r="U168" s="3"/>
      <c r="V168" s="1"/>
      <c r="W168" s="1"/>
      <c r="X168" s="1"/>
    </row>
    <row r="169" spans="2:24" s="2" customFormat="1" x14ac:dyDescent="0.4">
      <c r="B169" s="18"/>
      <c r="C169" s="19"/>
      <c r="D169" s="19"/>
      <c r="E169" s="19"/>
      <c r="F169" s="19"/>
      <c r="G169" s="19"/>
      <c r="H169" s="19"/>
      <c r="I169" s="20"/>
      <c r="K169" s="88"/>
      <c r="U169" s="3"/>
      <c r="V169" s="1"/>
      <c r="W169" s="1"/>
      <c r="X169" s="1"/>
    </row>
    <row r="170" spans="2:24" s="2" customFormat="1" x14ac:dyDescent="0.4">
      <c r="B170" s="18"/>
      <c r="C170" s="19"/>
      <c r="D170" s="19"/>
      <c r="E170" s="19"/>
      <c r="F170" s="19"/>
      <c r="G170" s="19"/>
      <c r="H170" s="19"/>
      <c r="I170" s="20"/>
      <c r="K170" s="88"/>
      <c r="U170" s="3"/>
      <c r="V170" s="1"/>
      <c r="W170" s="1"/>
      <c r="X170" s="1"/>
    </row>
    <row r="171" spans="2:24" s="2" customFormat="1" x14ac:dyDescent="0.4">
      <c r="B171" s="18"/>
      <c r="C171" s="19"/>
      <c r="D171" s="19"/>
      <c r="E171" s="19"/>
      <c r="F171" s="19"/>
      <c r="G171" s="19"/>
      <c r="H171" s="19"/>
      <c r="I171" s="20"/>
      <c r="K171" s="88"/>
      <c r="U171" s="3"/>
      <c r="V171" s="1"/>
      <c r="W171" s="1"/>
      <c r="X171" s="1"/>
    </row>
    <row r="172" spans="2:24" s="2" customFormat="1" x14ac:dyDescent="0.4">
      <c r="B172" s="18"/>
      <c r="C172" s="19"/>
      <c r="D172" s="19"/>
      <c r="E172" s="19"/>
      <c r="F172" s="19"/>
      <c r="G172" s="19"/>
      <c r="H172" s="19"/>
      <c r="I172" s="20"/>
      <c r="K172" s="88"/>
      <c r="U172" s="3"/>
      <c r="V172" s="1"/>
      <c r="W172" s="1"/>
      <c r="X172" s="1"/>
    </row>
    <row r="173" spans="2:24" s="2" customFormat="1" x14ac:dyDescent="0.4">
      <c r="B173" s="18"/>
      <c r="C173" s="19"/>
      <c r="D173" s="19"/>
      <c r="E173" s="19"/>
      <c r="F173" s="19"/>
      <c r="G173" s="19"/>
      <c r="H173" s="19"/>
      <c r="I173" s="20"/>
      <c r="K173" s="88"/>
      <c r="U173" s="3"/>
      <c r="V173" s="1"/>
      <c r="W173" s="1"/>
      <c r="X173" s="1"/>
    </row>
  </sheetData>
  <autoFilter ref="A2:X120" xr:uid="{00000000-0009-0000-0000-000000000000}"/>
  <mergeCells count="3">
    <mergeCell ref="B1:I1"/>
    <mergeCell ref="B122:E122"/>
    <mergeCell ref="F122:G122"/>
  </mergeCells>
  <phoneticPr fontId="42" type="noConversion"/>
  <pageMargins left="0.23622047244094491" right="0.23622047244094491" top="0.55118110236220474" bottom="0.55118110236220474" header="0.51181102362204722" footer="0.31496062992125984"/>
  <pageSetup paperSize="9" scale="53" fitToHeight="0" orientation="landscape" horizontalDpi="4294967293" r:id="rId1"/>
  <headerFooter>
    <oddFooter>&amp;C&amp;P  of 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  <pageSetUpPr fitToPage="1"/>
  </sheetPr>
  <dimension ref="B1:V81"/>
  <sheetViews>
    <sheetView showGridLines="0" topLeftCell="B1" zoomScaleNormal="100" workbookViewId="0">
      <pane xSplit="7" ySplit="2" topLeftCell="I3" activePane="bottomRight" state="frozen"/>
      <selection activeCell="B1" sqref="B1"/>
      <selection pane="topRight" activeCell="I1" sqref="I1"/>
      <selection pane="bottomLeft" activeCell="B3" sqref="B3"/>
      <selection pane="bottomRight" activeCell="U78" sqref="U78"/>
    </sheetView>
  </sheetViews>
  <sheetFormatPr defaultRowHeight="17.399999999999999" x14ac:dyDescent="0.4"/>
  <cols>
    <col min="1" max="1" width="1.19921875" customWidth="1"/>
    <col min="2" max="2" width="12.59765625" customWidth="1"/>
    <col min="3" max="4" width="6.59765625" customWidth="1"/>
    <col min="5" max="5" width="18" bestFit="1" customWidth="1"/>
    <col min="6" max="6" width="9.59765625" customWidth="1"/>
    <col min="7" max="7" width="6.59765625" customWidth="1"/>
    <col min="8" max="8" width="6" customWidth="1"/>
    <col min="9" max="20" width="12.59765625" customWidth="1"/>
    <col min="21" max="21" width="17.8984375" customWidth="1"/>
    <col min="22" max="22" width="12.59765625" customWidth="1"/>
    <col min="23" max="23" width="10.8984375" customWidth="1"/>
    <col min="24" max="24" width="9.69921875" bestFit="1" customWidth="1"/>
    <col min="26" max="26" width="9.69921875" bestFit="1" customWidth="1"/>
  </cols>
  <sheetData>
    <row r="1" spans="2:22" ht="21.9" customHeight="1" thickBot="1" x14ac:dyDescent="0.45">
      <c r="B1" s="165" t="s">
        <v>623</v>
      </c>
      <c r="C1" s="165"/>
      <c r="D1" s="165"/>
      <c r="E1" s="165"/>
      <c r="F1" s="165"/>
      <c r="G1" s="165"/>
      <c r="H1" s="165"/>
      <c r="I1" s="165"/>
      <c r="J1" s="165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2"/>
    </row>
    <row r="2" spans="2:22" ht="52.2" customHeight="1" thickBot="1" x14ac:dyDescent="0.45">
      <c r="B2" s="71" t="s">
        <v>441</v>
      </c>
      <c r="C2" s="69" t="s">
        <v>372</v>
      </c>
      <c r="D2" s="68" t="s">
        <v>373</v>
      </c>
      <c r="E2" s="67" t="s">
        <v>374</v>
      </c>
      <c r="F2" s="67" t="s">
        <v>375</v>
      </c>
      <c r="G2" s="67" t="s">
        <v>376</v>
      </c>
      <c r="H2" s="66" t="s">
        <v>429</v>
      </c>
      <c r="I2" s="4" t="s">
        <v>430</v>
      </c>
      <c r="J2" s="4" t="s">
        <v>431</v>
      </c>
      <c r="K2" s="4" t="s">
        <v>432</v>
      </c>
      <c r="L2" s="5" t="s">
        <v>377</v>
      </c>
      <c r="M2" s="5" t="s">
        <v>378</v>
      </c>
      <c r="N2" s="6" t="s">
        <v>379</v>
      </c>
      <c r="O2" s="7" t="s">
        <v>380</v>
      </c>
      <c r="P2" s="8" t="s">
        <v>433</v>
      </c>
      <c r="Q2" s="96" t="s">
        <v>568</v>
      </c>
      <c r="R2" s="7" t="s">
        <v>381</v>
      </c>
      <c r="S2" s="95" t="s">
        <v>567</v>
      </c>
      <c r="T2" s="6" t="s">
        <v>434</v>
      </c>
      <c r="U2" s="9" t="s">
        <v>382</v>
      </c>
      <c r="V2" s="51" t="s">
        <v>383</v>
      </c>
    </row>
    <row r="3" spans="2:22" s="1" customFormat="1" ht="17.100000000000001" customHeight="1" thickTop="1" x14ac:dyDescent="0.4">
      <c r="B3" s="52">
        <v>46054</v>
      </c>
      <c r="C3" s="35">
        <v>2</v>
      </c>
      <c r="D3" s="53"/>
      <c r="E3" s="54"/>
      <c r="F3" s="54"/>
      <c r="G3" s="54"/>
      <c r="H3" s="55"/>
      <c r="I3" s="10"/>
      <c r="J3" s="10"/>
      <c r="K3" s="11"/>
      <c r="L3" s="10"/>
      <c r="M3" s="10"/>
      <c r="N3" s="12"/>
      <c r="O3" s="10"/>
      <c r="P3" s="10"/>
      <c r="Q3" s="10"/>
      <c r="R3" s="10"/>
      <c r="S3" s="11"/>
      <c r="T3" s="12"/>
      <c r="U3" s="24"/>
      <c r="V3" s="64"/>
    </row>
    <row r="4" spans="2:22" s="1" customFormat="1" ht="17.100000000000001" customHeight="1" x14ac:dyDescent="0.4">
      <c r="B4" s="52">
        <v>46054</v>
      </c>
      <c r="C4" s="35">
        <v>2</v>
      </c>
      <c r="D4" s="53"/>
      <c r="E4" s="54"/>
      <c r="F4" s="54"/>
      <c r="G4" s="54"/>
      <c r="H4" s="55"/>
      <c r="I4" s="13"/>
      <c r="J4" s="13"/>
      <c r="K4" s="11"/>
      <c r="L4" s="13"/>
      <c r="M4" s="13"/>
      <c r="N4" s="11"/>
      <c r="O4" s="11"/>
      <c r="P4" s="11"/>
      <c r="Q4" s="11"/>
      <c r="R4" s="13"/>
      <c r="S4" s="13"/>
      <c r="T4" s="11"/>
      <c r="U4" s="24"/>
      <c r="V4" s="64"/>
    </row>
    <row r="5" spans="2:22" s="1" customFormat="1" ht="17.100000000000001" customHeight="1" x14ac:dyDescent="0.4">
      <c r="B5" s="52">
        <v>46054</v>
      </c>
      <c r="C5" s="35">
        <v>2</v>
      </c>
      <c r="D5" s="53"/>
      <c r="E5" s="54"/>
      <c r="F5" s="54"/>
      <c r="G5" s="54"/>
      <c r="H5" s="55"/>
      <c r="I5" s="13"/>
      <c r="J5" s="13"/>
      <c r="K5" s="11"/>
      <c r="L5" s="13"/>
      <c r="M5" s="13"/>
      <c r="N5" s="11"/>
      <c r="O5" s="13"/>
      <c r="P5" s="13"/>
      <c r="Q5" s="13"/>
      <c r="R5" s="13"/>
      <c r="S5" s="11"/>
      <c r="T5" s="11"/>
      <c r="U5" s="24"/>
      <c r="V5" s="64"/>
    </row>
    <row r="6" spans="2:22" s="1" customFormat="1" ht="17.100000000000001" customHeight="1" x14ac:dyDescent="0.4">
      <c r="B6" s="52">
        <v>46054</v>
      </c>
      <c r="C6" s="35">
        <v>2</v>
      </c>
      <c r="D6" s="53"/>
      <c r="E6" s="54"/>
      <c r="F6" s="54"/>
      <c r="G6" s="54"/>
      <c r="H6" s="55"/>
      <c r="I6" s="13"/>
      <c r="J6" s="13"/>
      <c r="K6" s="11"/>
      <c r="L6" s="13"/>
      <c r="M6" s="13"/>
      <c r="N6" s="11"/>
      <c r="O6" s="54"/>
      <c r="P6" s="13"/>
      <c r="Q6" s="13"/>
      <c r="R6" s="13"/>
      <c r="S6" s="11"/>
      <c r="T6" s="11"/>
      <c r="U6" s="54"/>
      <c r="V6" s="64"/>
    </row>
    <row r="7" spans="2:22" s="1" customFormat="1" ht="17.100000000000001" customHeight="1" x14ac:dyDescent="0.4">
      <c r="B7" s="52">
        <v>46054</v>
      </c>
      <c r="C7" s="35">
        <v>2</v>
      </c>
      <c r="D7" s="53"/>
      <c r="E7" s="54"/>
      <c r="F7" s="54"/>
      <c r="G7" s="54"/>
      <c r="H7" s="55"/>
      <c r="I7" s="13"/>
      <c r="J7" s="13"/>
      <c r="K7" s="11"/>
      <c r="L7" s="13"/>
      <c r="M7" s="13"/>
      <c r="N7" s="11"/>
      <c r="O7" s="13"/>
      <c r="P7" s="13"/>
      <c r="Q7" s="13"/>
      <c r="R7" s="13"/>
      <c r="S7" s="11"/>
      <c r="T7" s="11"/>
      <c r="U7" s="24"/>
      <c r="V7" s="64"/>
    </row>
    <row r="8" spans="2:22" s="1" customFormat="1" ht="17.100000000000001" customHeight="1" x14ac:dyDescent="0.4">
      <c r="B8" s="52">
        <v>46054</v>
      </c>
      <c r="C8" s="35">
        <v>2</v>
      </c>
      <c r="D8" s="53"/>
      <c r="E8" s="54"/>
      <c r="F8" s="54"/>
      <c r="G8" s="54"/>
      <c r="H8" s="55"/>
      <c r="I8" s="13"/>
      <c r="J8" s="13"/>
      <c r="K8" s="11"/>
      <c r="L8" s="13"/>
      <c r="M8" s="13"/>
      <c r="N8" s="11"/>
      <c r="O8" s="11"/>
      <c r="P8" s="11"/>
      <c r="Q8" s="11"/>
      <c r="R8" s="13"/>
      <c r="S8" s="13"/>
      <c r="T8" s="12"/>
      <c r="U8" s="55"/>
      <c r="V8" s="64"/>
    </row>
    <row r="9" spans="2:22" s="1" customFormat="1" ht="17.100000000000001" customHeight="1" x14ac:dyDescent="0.4">
      <c r="B9" s="52">
        <v>46054</v>
      </c>
      <c r="C9" s="35">
        <v>2</v>
      </c>
      <c r="D9" s="53"/>
      <c r="E9" s="54"/>
      <c r="F9" s="54"/>
      <c r="G9" s="54"/>
      <c r="H9" s="55"/>
      <c r="I9" s="13"/>
      <c r="J9" s="13"/>
      <c r="K9" s="11"/>
      <c r="L9" s="13"/>
      <c r="M9" s="13"/>
      <c r="N9" s="90"/>
      <c r="O9" s="13"/>
      <c r="P9" s="13"/>
      <c r="Q9" s="13"/>
      <c r="R9" s="13"/>
      <c r="S9" s="90"/>
      <c r="T9" s="11"/>
      <c r="U9" s="91"/>
      <c r="V9" s="64"/>
    </row>
    <row r="10" spans="2:22" s="1" customFormat="1" ht="17.100000000000001" customHeight="1" x14ac:dyDescent="0.4">
      <c r="B10" s="52">
        <v>46054</v>
      </c>
      <c r="C10" s="35">
        <v>2</v>
      </c>
      <c r="D10" s="53"/>
      <c r="E10" s="54"/>
      <c r="F10" s="54"/>
      <c r="G10" s="54"/>
      <c r="H10" s="55"/>
      <c r="I10" s="13"/>
      <c r="J10" s="13"/>
      <c r="K10" s="11"/>
      <c r="L10" s="13"/>
      <c r="M10" s="13"/>
      <c r="N10" s="11"/>
      <c r="O10" s="54"/>
      <c r="P10" s="13"/>
      <c r="Q10" s="13"/>
      <c r="R10" s="13"/>
      <c r="S10" s="11"/>
      <c r="T10" s="11"/>
      <c r="U10" s="54"/>
      <c r="V10" s="64"/>
    </row>
    <row r="11" spans="2:22" s="1" customFormat="1" ht="17.100000000000001" customHeight="1" x14ac:dyDescent="0.4">
      <c r="B11" s="52">
        <v>46054</v>
      </c>
      <c r="C11" s="35">
        <v>2</v>
      </c>
      <c r="D11" s="53"/>
      <c r="E11" s="54"/>
      <c r="F11" s="54"/>
      <c r="G11" s="54"/>
      <c r="H11" s="55"/>
      <c r="I11" s="13"/>
      <c r="J11" s="13"/>
      <c r="K11" s="11"/>
      <c r="L11" s="13"/>
      <c r="M11" s="13"/>
      <c r="N11" s="90"/>
      <c r="O11" s="13"/>
      <c r="P11" s="13"/>
      <c r="Q11" s="13"/>
      <c r="R11" s="13"/>
      <c r="S11" s="11"/>
      <c r="T11" s="11"/>
      <c r="U11" s="54"/>
      <c r="V11" s="64"/>
    </row>
    <row r="12" spans="2:22" s="1" customFormat="1" ht="17.100000000000001" customHeight="1" x14ac:dyDescent="0.4">
      <c r="B12" s="52">
        <v>46054</v>
      </c>
      <c r="C12" s="35">
        <v>2</v>
      </c>
      <c r="D12" s="53"/>
      <c r="E12" s="54"/>
      <c r="F12" s="54"/>
      <c r="G12" s="54"/>
      <c r="H12" s="55"/>
      <c r="I12" s="13"/>
      <c r="J12" s="13"/>
      <c r="K12" s="11"/>
      <c r="L12" s="13"/>
      <c r="M12" s="13"/>
      <c r="N12" s="11"/>
      <c r="O12" s="13"/>
      <c r="P12" s="13"/>
      <c r="Q12" s="13"/>
      <c r="R12" s="13"/>
      <c r="S12" s="11"/>
      <c r="T12" s="11"/>
      <c r="U12" s="24"/>
      <c r="V12" s="64"/>
    </row>
    <row r="13" spans="2:22" s="1" customFormat="1" ht="17.399999999999999" customHeight="1" x14ac:dyDescent="0.4">
      <c r="B13" s="52">
        <v>46054</v>
      </c>
      <c r="C13" s="35">
        <v>2</v>
      </c>
      <c r="D13" s="53"/>
      <c r="E13" s="54"/>
      <c r="F13" s="54"/>
      <c r="G13" s="54"/>
      <c r="H13" s="55"/>
      <c r="I13" s="13"/>
      <c r="J13" s="13"/>
      <c r="K13" s="11"/>
      <c r="L13" s="13"/>
      <c r="M13" s="13"/>
      <c r="N13" s="90"/>
      <c r="O13" s="13"/>
      <c r="P13" s="13"/>
      <c r="Q13" s="13"/>
      <c r="R13" s="13"/>
      <c r="S13" s="11"/>
      <c r="T13" s="11"/>
      <c r="U13" s="92"/>
      <c r="V13" s="64"/>
    </row>
    <row r="14" spans="2:22" s="1" customFormat="1" ht="17.100000000000001" customHeight="1" x14ac:dyDescent="0.4">
      <c r="B14" s="52">
        <v>46054</v>
      </c>
      <c r="C14" s="35">
        <v>2</v>
      </c>
      <c r="D14" s="53"/>
      <c r="E14" s="54"/>
      <c r="F14" s="54"/>
      <c r="G14" s="54"/>
      <c r="H14" s="55"/>
      <c r="I14" s="13"/>
      <c r="J14" s="13"/>
      <c r="K14" s="11"/>
      <c r="L14" s="13"/>
      <c r="M14" s="13"/>
      <c r="N14" s="11"/>
      <c r="O14" s="13"/>
      <c r="P14" s="13"/>
      <c r="Q14" s="13"/>
      <c r="R14" s="13"/>
      <c r="S14" s="11"/>
      <c r="T14" s="11"/>
      <c r="U14" s="24"/>
      <c r="V14" s="64"/>
    </row>
    <row r="15" spans="2:22" s="1" customFormat="1" ht="17.100000000000001" customHeight="1" x14ac:dyDescent="0.4">
      <c r="B15" s="52">
        <v>46054</v>
      </c>
      <c r="C15" s="35">
        <v>2</v>
      </c>
      <c r="D15" s="53"/>
      <c r="E15" s="54"/>
      <c r="F15" s="54"/>
      <c r="G15" s="54"/>
      <c r="H15" s="55"/>
      <c r="I15" s="13"/>
      <c r="J15" s="13"/>
      <c r="K15" s="11"/>
      <c r="L15" s="13"/>
      <c r="M15" s="13"/>
      <c r="N15" s="90"/>
      <c r="O15" s="13"/>
      <c r="P15" s="13"/>
      <c r="Q15" s="13"/>
      <c r="R15" s="13"/>
      <c r="S15" s="11"/>
      <c r="T15" s="11"/>
      <c r="U15" s="24"/>
      <c r="V15" s="64"/>
    </row>
    <row r="16" spans="2:22" s="1" customFormat="1" ht="17.100000000000001" customHeight="1" x14ac:dyDescent="0.4">
      <c r="B16" s="52">
        <v>46054</v>
      </c>
      <c r="C16" s="35">
        <v>2</v>
      </c>
      <c r="D16" s="53"/>
      <c r="E16" s="54"/>
      <c r="F16" s="54"/>
      <c r="G16" s="54"/>
      <c r="H16" s="55"/>
      <c r="I16" s="13"/>
      <c r="J16" s="13"/>
      <c r="K16" s="11"/>
      <c r="L16" s="13"/>
      <c r="M16" s="13"/>
      <c r="N16" s="90"/>
      <c r="O16" s="13"/>
      <c r="P16" s="13"/>
      <c r="Q16" s="13"/>
      <c r="R16" s="13"/>
      <c r="S16" s="11"/>
      <c r="T16" s="11"/>
      <c r="U16" s="91"/>
      <c r="V16" s="64"/>
    </row>
    <row r="17" spans="2:22" s="1" customFormat="1" ht="17.100000000000001" customHeight="1" x14ac:dyDescent="0.4">
      <c r="B17" s="52">
        <v>46054</v>
      </c>
      <c r="C17" s="35">
        <v>2</v>
      </c>
      <c r="D17" s="53"/>
      <c r="E17" s="54"/>
      <c r="F17" s="54"/>
      <c r="G17" s="54"/>
      <c r="H17" s="55"/>
      <c r="I17" s="13"/>
      <c r="J17" s="13"/>
      <c r="K17" s="11"/>
      <c r="L17" s="13"/>
      <c r="M17" s="13"/>
      <c r="N17" s="11"/>
      <c r="O17" s="54"/>
      <c r="P17" s="13"/>
      <c r="Q17" s="13"/>
      <c r="R17" s="13"/>
      <c r="S17" s="11"/>
      <c r="T17" s="11"/>
      <c r="U17" s="54"/>
      <c r="V17" s="64"/>
    </row>
    <row r="18" spans="2:22" s="1" customFormat="1" ht="17.100000000000001" customHeight="1" x14ac:dyDescent="0.4">
      <c r="B18" s="52">
        <v>46054</v>
      </c>
      <c r="C18" s="35">
        <v>2</v>
      </c>
      <c r="D18" s="53"/>
      <c r="E18" s="54"/>
      <c r="F18" s="54"/>
      <c r="G18" s="54"/>
      <c r="H18" s="55"/>
      <c r="I18" s="13"/>
      <c r="J18" s="13"/>
      <c r="K18" s="11"/>
      <c r="L18" s="13"/>
      <c r="M18" s="13"/>
      <c r="N18" s="90"/>
      <c r="O18" s="11"/>
      <c r="P18" s="11"/>
      <c r="Q18" s="11"/>
      <c r="R18" s="13"/>
      <c r="S18" s="13"/>
      <c r="T18" s="11"/>
      <c r="U18" s="94"/>
      <c r="V18" s="64"/>
    </row>
    <row r="19" spans="2:22" s="1" customFormat="1" ht="17.100000000000001" customHeight="1" x14ac:dyDescent="0.4">
      <c r="B19" s="52">
        <v>46054</v>
      </c>
      <c r="C19" s="35">
        <v>2</v>
      </c>
      <c r="D19" s="53"/>
      <c r="E19" s="54"/>
      <c r="F19" s="54"/>
      <c r="G19" s="54"/>
      <c r="H19" s="55"/>
      <c r="I19" s="10"/>
      <c r="J19" s="10"/>
      <c r="K19" s="11"/>
      <c r="L19" s="10"/>
      <c r="M19" s="10"/>
      <c r="N19" s="90"/>
      <c r="O19" s="13"/>
      <c r="P19" s="13"/>
      <c r="Q19" s="13"/>
      <c r="R19" s="13"/>
      <c r="S19" s="11"/>
      <c r="T19" s="11"/>
      <c r="U19" s="24"/>
      <c r="V19" s="64"/>
    </row>
    <row r="20" spans="2:22" s="1" customFormat="1" ht="17.100000000000001" customHeight="1" x14ac:dyDescent="0.4">
      <c r="B20" s="52">
        <v>46054</v>
      </c>
      <c r="C20" s="35">
        <v>2</v>
      </c>
      <c r="D20" s="53"/>
      <c r="E20" s="54"/>
      <c r="F20" s="54"/>
      <c r="G20" s="54"/>
      <c r="H20" s="55"/>
      <c r="I20" s="13"/>
      <c r="J20" s="13"/>
      <c r="K20" s="11"/>
      <c r="L20" s="13"/>
      <c r="M20" s="13"/>
      <c r="N20" s="90"/>
      <c r="O20" s="13"/>
      <c r="P20" s="13"/>
      <c r="Q20" s="13"/>
      <c r="R20" s="13"/>
      <c r="S20" s="11"/>
      <c r="T20" s="11"/>
      <c r="U20" s="94"/>
      <c r="V20" s="64"/>
    </row>
    <row r="21" spans="2:22" s="1" customFormat="1" ht="17.100000000000001" customHeight="1" x14ac:dyDescent="0.4">
      <c r="B21" s="52">
        <v>46054</v>
      </c>
      <c r="C21" s="35">
        <v>2</v>
      </c>
      <c r="D21" s="53"/>
      <c r="E21" s="54"/>
      <c r="F21" s="54"/>
      <c r="G21" s="54"/>
      <c r="H21" s="55"/>
      <c r="I21" s="13"/>
      <c r="J21" s="13"/>
      <c r="K21" s="11"/>
      <c r="L21" s="13"/>
      <c r="M21" s="13"/>
      <c r="N21" s="90"/>
      <c r="O21" s="13"/>
      <c r="P21" s="13"/>
      <c r="Q21" s="13"/>
      <c r="R21" s="13"/>
      <c r="S21" s="11"/>
      <c r="T21" s="11"/>
      <c r="U21" s="92"/>
      <c r="V21" s="64"/>
    </row>
    <row r="22" spans="2:22" s="1" customFormat="1" ht="17.100000000000001" customHeight="1" x14ac:dyDescent="0.4">
      <c r="B22" s="52">
        <v>46054</v>
      </c>
      <c r="C22" s="35">
        <v>2</v>
      </c>
      <c r="D22" s="53"/>
      <c r="E22" s="54"/>
      <c r="F22" s="54"/>
      <c r="G22" s="54"/>
      <c r="H22" s="55"/>
      <c r="I22" s="13"/>
      <c r="J22" s="13"/>
      <c r="K22" s="11"/>
      <c r="L22" s="13"/>
      <c r="M22" s="13"/>
      <c r="N22" s="90"/>
      <c r="O22" s="13"/>
      <c r="P22" s="13"/>
      <c r="Q22" s="13"/>
      <c r="R22" s="13"/>
      <c r="S22" s="11"/>
      <c r="T22" s="11"/>
      <c r="U22" s="92"/>
      <c r="V22" s="64"/>
    </row>
    <row r="23" spans="2:22" s="1" customFormat="1" ht="17.100000000000001" customHeight="1" x14ac:dyDescent="0.4">
      <c r="B23" s="52">
        <v>46054</v>
      </c>
      <c r="C23" s="35">
        <v>2</v>
      </c>
      <c r="D23" s="53"/>
      <c r="E23" s="54"/>
      <c r="F23" s="54"/>
      <c r="G23" s="54"/>
      <c r="H23" s="55"/>
      <c r="I23" s="13"/>
      <c r="J23" s="13"/>
      <c r="K23" s="11"/>
      <c r="L23" s="84"/>
      <c r="M23" s="13"/>
      <c r="N23" s="90"/>
      <c r="O23" s="13"/>
      <c r="P23" s="13"/>
      <c r="Q23" s="13"/>
      <c r="R23" s="13"/>
      <c r="S23" s="11"/>
      <c r="T23" s="11"/>
      <c r="U23" s="154"/>
      <c r="V23" s="64"/>
    </row>
    <row r="24" spans="2:22" s="1" customFormat="1" ht="17.100000000000001" customHeight="1" x14ac:dyDescent="0.4">
      <c r="B24" s="52">
        <v>46054</v>
      </c>
      <c r="C24" s="35">
        <v>2</v>
      </c>
      <c r="D24" s="53"/>
      <c r="E24" s="54"/>
      <c r="F24" s="54"/>
      <c r="G24" s="54"/>
      <c r="H24" s="55"/>
      <c r="I24" s="13"/>
      <c r="J24" s="13"/>
      <c r="K24" s="11"/>
      <c r="L24" s="13"/>
      <c r="M24" s="13"/>
      <c r="N24" s="11"/>
      <c r="O24" s="13"/>
      <c r="P24" s="13"/>
      <c r="Q24" s="13"/>
      <c r="R24" s="13"/>
      <c r="S24" s="11"/>
      <c r="T24" s="11"/>
      <c r="U24" s="24"/>
      <c r="V24" s="64"/>
    </row>
    <row r="25" spans="2:22" s="1" customFormat="1" ht="17.100000000000001" customHeight="1" x14ac:dyDescent="0.4">
      <c r="B25" s="52">
        <v>46054</v>
      </c>
      <c r="C25" s="35">
        <v>2</v>
      </c>
      <c r="D25" s="53"/>
      <c r="E25" s="54"/>
      <c r="F25" s="54"/>
      <c r="G25" s="54"/>
      <c r="H25" s="55"/>
      <c r="I25" s="13"/>
      <c r="J25" s="13"/>
      <c r="K25" s="11"/>
      <c r="L25" s="13"/>
      <c r="M25" s="13"/>
      <c r="N25" s="90"/>
      <c r="O25" s="13"/>
      <c r="P25" s="13"/>
      <c r="Q25" s="13"/>
      <c r="R25" s="13"/>
      <c r="S25" s="11"/>
      <c r="T25" s="11"/>
      <c r="U25" s="94"/>
      <c r="V25" s="64"/>
    </row>
    <row r="26" spans="2:22" s="1" customFormat="1" ht="17.100000000000001" customHeight="1" x14ac:dyDescent="0.4">
      <c r="B26" s="52">
        <v>46054</v>
      </c>
      <c r="C26" s="35">
        <v>2</v>
      </c>
      <c r="D26" s="53"/>
      <c r="E26" s="54"/>
      <c r="F26" s="54"/>
      <c r="G26" s="54"/>
      <c r="H26" s="55"/>
      <c r="I26" s="13"/>
      <c r="J26" s="13"/>
      <c r="K26" s="11"/>
      <c r="L26" s="13"/>
      <c r="M26" s="13"/>
      <c r="N26" s="90"/>
      <c r="O26" s="13"/>
      <c r="P26" s="13"/>
      <c r="Q26" s="13"/>
      <c r="R26" s="13"/>
      <c r="S26" s="11"/>
      <c r="T26" s="11"/>
      <c r="U26" s="98"/>
      <c r="V26" s="64"/>
    </row>
    <row r="27" spans="2:22" s="1" customFormat="1" ht="17.100000000000001" customHeight="1" x14ac:dyDescent="0.4">
      <c r="B27" s="52">
        <v>46054</v>
      </c>
      <c r="C27" s="35">
        <v>2</v>
      </c>
      <c r="D27" s="53"/>
      <c r="E27" s="54"/>
      <c r="F27" s="54"/>
      <c r="G27" s="54"/>
      <c r="H27" s="55"/>
      <c r="I27" s="13"/>
      <c r="J27" s="13"/>
      <c r="K27" s="11"/>
      <c r="L27" s="13"/>
      <c r="M27" s="13"/>
      <c r="N27" s="90"/>
      <c r="O27" s="13"/>
      <c r="P27" s="13"/>
      <c r="Q27" s="13"/>
      <c r="R27" s="13"/>
      <c r="S27" s="11"/>
      <c r="T27" s="11"/>
      <c r="U27" s="98"/>
      <c r="V27" s="64"/>
    </row>
    <row r="28" spans="2:22" s="1" customFormat="1" ht="17.100000000000001" customHeight="1" x14ac:dyDescent="0.4">
      <c r="B28" s="52">
        <v>46054</v>
      </c>
      <c r="C28" s="35">
        <v>2</v>
      </c>
      <c r="D28" s="53"/>
      <c r="E28" s="54"/>
      <c r="F28" s="54"/>
      <c r="G28" s="54"/>
      <c r="H28" s="55"/>
      <c r="I28" s="13"/>
      <c r="J28" s="13"/>
      <c r="K28" s="11"/>
      <c r="L28" s="13"/>
      <c r="M28" s="13"/>
      <c r="N28" s="90"/>
      <c r="O28" s="13"/>
      <c r="P28" s="13"/>
      <c r="Q28" s="13"/>
      <c r="R28" s="13"/>
      <c r="S28" s="11"/>
      <c r="T28" s="11"/>
      <c r="U28" s="98"/>
      <c r="V28" s="64"/>
    </row>
    <row r="29" spans="2:22" s="1" customFormat="1" ht="17.100000000000001" customHeight="1" x14ac:dyDescent="0.4">
      <c r="B29" s="52">
        <v>46054</v>
      </c>
      <c r="C29" s="35">
        <v>2</v>
      </c>
      <c r="D29" s="53"/>
      <c r="E29" s="54"/>
      <c r="F29" s="54"/>
      <c r="G29" s="54"/>
      <c r="H29" s="55"/>
      <c r="I29" s="13"/>
      <c r="J29" s="13"/>
      <c r="K29" s="11"/>
      <c r="L29" s="13"/>
      <c r="M29" s="13"/>
      <c r="N29" s="90"/>
      <c r="O29" s="13"/>
      <c r="P29" s="13"/>
      <c r="Q29" s="13"/>
      <c r="R29" s="13"/>
      <c r="S29" s="11"/>
      <c r="T29" s="11"/>
      <c r="U29" s="98"/>
      <c r="V29" s="64"/>
    </row>
    <row r="30" spans="2:22" s="1" customFormat="1" ht="17.100000000000001" customHeight="1" x14ac:dyDescent="0.4">
      <c r="B30" s="52">
        <v>46054</v>
      </c>
      <c r="C30" s="35">
        <v>2</v>
      </c>
      <c r="D30" s="53"/>
      <c r="E30" s="54"/>
      <c r="F30" s="54"/>
      <c r="G30" s="54"/>
      <c r="H30" s="55"/>
      <c r="I30" s="13"/>
      <c r="J30" s="13"/>
      <c r="K30" s="11"/>
      <c r="L30" s="13"/>
      <c r="M30" s="13"/>
      <c r="N30" s="11"/>
      <c r="O30" s="13"/>
      <c r="P30" s="13"/>
      <c r="Q30" s="13"/>
      <c r="R30" s="13"/>
      <c r="S30" s="11"/>
      <c r="T30" s="11"/>
      <c r="U30" s="24"/>
      <c r="V30" s="64"/>
    </row>
    <row r="31" spans="2:22" s="1" customFormat="1" ht="17.100000000000001" customHeight="1" x14ac:dyDescent="0.4">
      <c r="B31" s="52">
        <v>46054</v>
      </c>
      <c r="C31" s="35">
        <v>2</v>
      </c>
      <c r="D31" s="53"/>
      <c r="E31" s="54"/>
      <c r="F31" s="54"/>
      <c r="G31" s="54"/>
      <c r="H31" s="55"/>
      <c r="I31" s="13"/>
      <c r="J31" s="13"/>
      <c r="K31" s="11"/>
      <c r="L31" s="13"/>
      <c r="M31" s="13"/>
      <c r="N31" s="11"/>
      <c r="O31" s="13"/>
      <c r="P31" s="13"/>
      <c r="Q31" s="13"/>
      <c r="R31" s="13"/>
      <c r="S31" s="11"/>
      <c r="T31" s="11"/>
      <c r="U31" s="24"/>
      <c r="V31" s="64"/>
    </row>
    <row r="32" spans="2:22" s="1" customFormat="1" ht="17.100000000000001" customHeight="1" x14ac:dyDescent="0.4">
      <c r="B32" s="52">
        <v>46054</v>
      </c>
      <c r="C32" s="35">
        <v>2</v>
      </c>
      <c r="D32" s="53"/>
      <c r="E32" s="54"/>
      <c r="F32" s="54"/>
      <c r="G32" s="54"/>
      <c r="H32" s="55"/>
      <c r="I32" s="13"/>
      <c r="J32" s="13"/>
      <c r="K32" s="11"/>
      <c r="L32" s="13"/>
      <c r="M32" s="13"/>
      <c r="N32" s="11"/>
      <c r="O32" s="13"/>
      <c r="P32" s="13"/>
      <c r="Q32" s="13"/>
      <c r="R32" s="13"/>
      <c r="S32" s="11"/>
      <c r="T32" s="11"/>
      <c r="U32" s="24"/>
      <c r="V32" s="64"/>
    </row>
    <row r="33" spans="2:22" s="1" customFormat="1" ht="17.100000000000001" customHeight="1" x14ac:dyDescent="0.4">
      <c r="B33" s="52">
        <v>46054</v>
      </c>
      <c r="C33" s="35">
        <v>2</v>
      </c>
      <c r="D33" s="53"/>
      <c r="E33" s="54"/>
      <c r="F33" s="54"/>
      <c r="G33" s="54"/>
      <c r="H33" s="55"/>
      <c r="I33" s="13"/>
      <c r="J33" s="13"/>
      <c r="K33" s="11"/>
      <c r="L33" s="13"/>
      <c r="M33" s="13"/>
      <c r="N33" s="11"/>
      <c r="O33" s="13"/>
      <c r="P33" s="13"/>
      <c r="Q33" s="13"/>
      <c r="R33" s="13"/>
      <c r="S33" s="11"/>
      <c r="T33" s="11"/>
      <c r="U33" s="24"/>
      <c r="V33" s="64"/>
    </row>
    <row r="34" spans="2:22" s="1" customFormat="1" ht="17.100000000000001" customHeight="1" x14ac:dyDescent="0.4">
      <c r="B34" s="52">
        <v>46054</v>
      </c>
      <c r="C34" s="35">
        <v>2</v>
      </c>
      <c r="D34" s="53"/>
      <c r="E34" s="54"/>
      <c r="F34" s="54"/>
      <c r="G34" s="54"/>
      <c r="H34" s="55"/>
      <c r="I34" s="13"/>
      <c r="J34" s="13"/>
      <c r="K34" s="11"/>
      <c r="L34" s="13"/>
      <c r="M34" s="13"/>
      <c r="N34" s="11"/>
      <c r="O34" s="13"/>
      <c r="P34" s="13"/>
      <c r="Q34" s="13"/>
      <c r="R34" s="13"/>
      <c r="S34" s="11"/>
      <c r="T34" s="11"/>
      <c r="U34" s="24"/>
      <c r="V34" s="64"/>
    </row>
    <row r="35" spans="2:22" s="1" customFormat="1" ht="17.100000000000001" customHeight="1" x14ac:dyDescent="0.4">
      <c r="B35" s="52">
        <v>46054</v>
      </c>
      <c r="C35" s="35">
        <v>2</v>
      </c>
      <c r="D35" s="53"/>
      <c r="E35" s="54"/>
      <c r="F35" s="54"/>
      <c r="G35" s="54"/>
      <c r="H35" s="55"/>
      <c r="I35" s="13"/>
      <c r="J35" s="13"/>
      <c r="K35" s="11"/>
      <c r="L35" s="13"/>
      <c r="M35" s="13"/>
      <c r="N35" s="11"/>
      <c r="O35" s="13"/>
      <c r="P35" s="13"/>
      <c r="Q35" s="13"/>
      <c r="R35" s="13"/>
      <c r="S35" s="11"/>
      <c r="T35" s="11"/>
      <c r="U35" s="24"/>
      <c r="V35" s="64"/>
    </row>
    <row r="36" spans="2:22" s="1" customFormat="1" ht="17.100000000000001" customHeight="1" x14ac:dyDescent="0.4">
      <c r="B36" s="52">
        <v>46054</v>
      </c>
      <c r="C36" s="35">
        <v>2</v>
      </c>
      <c r="D36" s="53"/>
      <c r="E36" s="97"/>
      <c r="F36" s="54"/>
      <c r="G36" s="54"/>
      <c r="H36" s="55"/>
      <c r="I36" s="13"/>
      <c r="J36" s="13"/>
      <c r="K36" s="11"/>
      <c r="L36" s="13"/>
      <c r="M36" s="13"/>
      <c r="N36" s="11"/>
      <c r="O36" s="13"/>
      <c r="P36" s="13"/>
      <c r="Q36" s="13"/>
      <c r="R36" s="13"/>
      <c r="S36" s="11"/>
      <c r="T36" s="11"/>
      <c r="U36" s="24"/>
      <c r="V36" s="64"/>
    </row>
    <row r="37" spans="2:22" s="1" customFormat="1" ht="17.100000000000001" customHeight="1" x14ac:dyDescent="0.4">
      <c r="B37" s="52">
        <v>46054</v>
      </c>
      <c r="C37" s="35">
        <v>2</v>
      </c>
      <c r="D37" s="53"/>
      <c r="E37" s="55"/>
      <c r="F37" s="54"/>
      <c r="G37" s="54"/>
      <c r="H37" s="55"/>
      <c r="I37" s="13"/>
      <c r="J37" s="13"/>
      <c r="K37" s="11"/>
      <c r="L37" s="13"/>
      <c r="M37" s="13"/>
      <c r="N37" s="11"/>
      <c r="O37" s="13"/>
      <c r="P37" s="13"/>
      <c r="Q37" s="13"/>
      <c r="R37" s="13"/>
      <c r="S37" s="11"/>
      <c r="T37" s="11"/>
      <c r="U37" s="24"/>
      <c r="V37" s="64"/>
    </row>
    <row r="38" spans="2:22" s="1" customFormat="1" ht="17.100000000000001" customHeight="1" x14ac:dyDescent="0.4">
      <c r="B38" s="52">
        <v>46054</v>
      </c>
      <c r="C38" s="35">
        <v>2</v>
      </c>
      <c r="D38" s="53"/>
      <c r="E38" s="55"/>
      <c r="F38" s="54"/>
      <c r="G38" s="54"/>
      <c r="H38" s="55"/>
      <c r="I38" s="13"/>
      <c r="J38" s="13"/>
      <c r="K38" s="11"/>
      <c r="L38" s="13"/>
      <c r="M38" s="13"/>
      <c r="N38" s="11"/>
      <c r="O38" s="13"/>
      <c r="P38" s="13"/>
      <c r="Q38" s="13"/>
      <c r="R38" s="13"/>
      <c r="S38" s="11"/>
      <c r="T38" s="11"/>
      <c r="U38" s="24"/>
      <c r="V38" s="64"/>
    </row>
    <row r="39" spans="2:22" s="1" customFormat="1" ht="17.100000000000001" customHeight="1" x14ac:dyDescent="0.4">
      <c r="B39" s="52">
        <v>46054</v>
      </c>
      <c r="C39" s="35">
        <v>2</v>
      </c>
      <c r="D39" s="53"/>
      <c r="E39" s="97"/>
      <c r="F39" s="54"/>
      <c r="G39" s="54"/>
      <c r="H39" s="55"/>
      <c r="I39" s="13"/>
      <c r="J39" s="10"/>
      <c r="K39" s="11"/>
      <c r="L39" s="13"/>
      <c r="M39" s="13"/>
      <c r="N39" s="11"/>
      <c r="O39" s="13"/>
      <c r="P39" s="13"/>
      <c r="Q39" s="13"/>
      <c r="R39" s="13"/>
      <c r="S39" s="11"/>
      <c r="T39" s="11"/>
      <c r="U39" s="97"/>
      <c r="V39" s="64"/>
    </row>
    <row r="40" spans="2:22" s="1" customFormat="1" ht="17.100000000000001" customHeight="1" x14ac:dyDescent="0.4">
      <c r="B40" s="52">
        <v>46054</v>
      </c>
      <c r="C40" s="35">
        <v>2</v>
      </c>
      <c r="D40" s="53"/>
      <c r="E40" s="54"/>
      <c r="F40" s="54"/>
      <c r="G40" s="54"/>
      <c r="H40" s="55"/>
      <c r="I40" s="10"/>
      <c r="J40" s="10"/>
      <c r="K40" s="11"/>
      <c r="L40" s="10"/>
      <c r="M40" s="10"/>
      <c r="N40" s="12"/>
      <c r="O40" s="10"/>
      <c r="P40" s="10"/>
      <c r="Q40" s="10"/>
      <c r="R40" s="10"/>
      <c r="S40" s="11"/>
      <c r="T40" s="12"/>
      <c r="U40" s="24"/>
      <c r="V40" s="64"/>
    </row>
    <row r="41" spans="2:22" s="1" customFormat="1" ht="17.100000000000001" customHeight="1" x14ac:dyDescent="0.4">
      <c r="B41" s="52">
        <v>46054</v>
      </c>
      <c r="C41" s="35">
        <v>2</v>
      </c>
      <c r="D41" s="53"/>
      <c r="E41" s="54"/>
      <c r="F41" s="54"/>
      <c r="G41" s="54"/>
      <c r="H41" s="55"/>
      <c r="I41" s="13"/>
      <c r="J41" s="13"/>
      <c r="K41" s="11"/>
      <c r="L41" s="13"/>
      <c r="M41" s="13"/>
      <c r="N41" s="11"/>
      <c r="O41" s="11"/>
      <c r="P41" s="11"/>
      <c r="Q41" s="11"/>
      <c r="R41" s="13"/>
      <c r="S41" s="13"/>
      <c r="T41" s="11"/>
      <c r="U41" s="24"/>
      <c r="V41" s="64"/>
    </row>
    <row r="42" spans="2:22" s="1" customFormat="1" ht="17.100000000000001" customHeight="1" x14ac:dyDescent="0.4">
      <c r="B42" s="52">
        <v>46054</v>
      </c>
      <c r="C42" s="35">
        <v>2</v>
      </c>
      <c r="D42" s="53"/>
      <c r="E42" s="54"/>
      <c r="F42" s="54"/>
      <c r="G42" s="54"/>
      <c r="H42" s="55"/>
      <c r="I42" s="13"/>
      <c r="J42" s="13"/>
      <c r="K42" s="11"/>
      <c r="L42" s="13"/>
      <c r="M42" s="13"/>
      <c r="N42" s="11"/>
      <c r="O42" s="13"/>
      <c r="P42" s="13"/>
      <c r="Q42" s="13"/>
      <c r="R42" s="13"/>
      <c r="S42" s="11"/>
      <c r="T42" s="11"/>
      <c r="U42" s="24"/>
      <c r="V42" s="64"/>
    </row>
    <row r="43" spans="2:22" s="1" customFormat="1" ht="17.100000000000001" customHeight="1" x14ac:dyDescent="0.4">
      <c r="B43" s="52">
        <v>46054</v>
      </c>
      <c r="C43" s="35">
        <v>2</v>
      </c>
      <c r="D43" s="53"/>
      <c r="E43" s="54"/>
      <c r="F43" s="54"/>
      <c r="G43" s="54"/>
      <c r="H43" s="55"/>
      <c r="I43" s="13"/>
      <c r="J43" s="13"/>
      <c r="K43" s="11"/>
      <c r="L43" s="13"/>
      <c r="M43" s="13"/>
      <c r="N43" s="11"/>
      <c r="O43" s="54"/>
      <c r="P43" s="13"/>
      <c r="Q43" s="13"/>
      <c r="R43" s="13"/>
      <c r="S43" s="11"/>
      <c r="T43" s="11"/>
      <c r="U43" s="54"/>
      <c r="V43" s="64"/>
    </row>
    <row r="44" spans="2:22" s="1" customFormat="1" ht="17.100000000000001" customHeight="1" x14ac:dyDescent="0.4">
      <c r="B44" s="52">
        <v>46054</v>
      </c>
      <c r="C44" s="35">
        <v>2</v>
      </c>
      <c r="D44" s="53"/>
      <c r="E44" s="54"/>
      <c r="F44" s="54"/>
      <c r="G44" s="54"/>
      <c r="H44" s="55"/>
      <c r="I44" s="13"/>
      <c r="J44" s="13"/>
      <c r="K44" s="11"/>
      <c r="L44" s="13"/>
      <c r="M44" s="13"/>
      <c r="N44" s="11"/>
      <c r="O44" s="13"/>
      <c r="P44" s="13"/>
      <c r="Q44" s="13"/>
      <c r="R44" s="13"/>
      <c r="S44" s="11"/>
      <c r="T44" s="11"/>
      <c r="U44" s="24"/>
      <c r="V44" s="64"/>
    </row>
    <row r="45" spans="2:22" s="1" customFormat="1" ht="17.100000000000001" customHeight="1" x14ac:dyDescent="0.4">
      <c r="B45" s="52">
        <v>46054</v>
      </c>
      <c r="C45" s="35">
        <v>2</v>
      </c>
      <c r="D45" s="53"/>
      <c r="E45" s="54"/>
      <c r="F45" s="54"/>
      <c r="G45" s="54"/>
      <c r="H45" s="55"/>
      <c r="I45" s="13"/>
      <c r="J45" s="13"/>
      <c r="K45" s="11"/>
      <c r="L45" s="13"/>
      <c r="M45" s="13"/>
      <c r="N45" s="11"/>
      <c r="O45" s="11"/>
      <c r="P45" s="11"/>
      <c r="Q45" s="11"/>
      <c r="R45" s="13"/>
      <c r="S45" s="13"/>
      <c r="T45" s="12"/>
      <c r="U45" s="55"/>
      <c r="V45" s="64"/>
    </row>
    <row r="46" spans="2:22" s="1" customFormat="1" ht="17.100000000000001" customHeight="1" x14ac:dyDescent="0.4">
      <c r="B46" s="52">
        <v>46054</v>
      </c>
      <c r="C46" s="35">
        <v>2</v>
      </c>
      <c r="D46" s="53"/>
      <c r="E46" s="54"/>
      <c r="F46" s="54"/>
      <c r="G46" s="54"/>
      <c r="H46" s="55"/>
      <c r="I46" s="13"/>
      <c r="J46" s="13"/>
      <c r="K46" s="11"/>
      <c r="L46" s="13"/>
      <c r="M46" s="13"/>
      <c r="N46" s="11"/>
      <c r="O46" s="13"/>
      <c r="P46" s="13"/>
      <c r="Q46" s="13"/>
      <c r="R46" s="13"/>
      <c r="S46" s="11"/>
      <c r="T46" s="11"/>
      <c r="U46" s="24"/>
      <c r="V46" s="64"/>
    </row>
    <row r="47" spans="2:22" s="1" customFormat="1" ht="17.100000000000001" customHeight="1" x14ac:dyDescent="0.4">
      <c r="B47" s="52">
        <v>46054</v>
      </c>
      <c r="C47" s="35">
        <v>2</v>
      </c>
      <c r="D47" s="53"/>
      <c r="E47" s="54"/>
      <c r="F47" s="54"/>
      <c r="G47" s="54"/>
      <c r="H47" s="55"/>
      <c r="I47" s="13"/>
      <c r="J47" s="13"/>
      <c r="K47" s="11"/>
      <c r="L47" s="13"/>
      <c r="M47" s="13"/>
      <c r="N47" s="11"/>
      <c r="O47" s="13"/>
      <c r="P47" s="13"/>
      <c r="Q47" s="13"/>
      <c r="R47" s="13"/>
      <c r="S47" s="11"/>
      <c r="T47" s="11"/>
      <c r="U47" s="55"/>
      <c r="V47" s="64"/>
    </row>
    <row r="48" spans="2:22" s="1" customFormat="1" ht="17.100000000000001" customHeight="1" x14ac:dyDescent="0.4">
      <c r="B48" s="52">
        <v>46054</v>
      </c>
      <c r="C48" s="35">
        <v>2</v>
      </c>
      <c r="D48" s="53"/>
      <c r="E48" s="55"/>
      <c r="F48" s="55"/>
      <c r="G48" s="54"/>
      <c r="H48" s="55"/>
      <c r="I48" s="13"/>
      <c r="J48" s="13"/>
      <c r="K48" s="11"/>
      <c r="L48" s="13"/>
      <c r="M48" s="13"/>
      <c r="N48" s="90"/>
      <c r="O48" s="13"/>
      <c r="P48" s="13"/>
      <c r="Q48" s="13"/>
      <c r="R48" s="13"/>
      <c r="S48" s="11"/>
      <c r="T48" s="11"/>
      <c r="U48" s="54"/>
      <c r="V48" s="64"/>
    </row>
    <row r="49" spans="2:22" s="1" customFormat="1" ht="17.100000000000001" customHeight="1" x14ac:dyDescent="0.4">
      <c r="B49" s="52">
        <v>46054</v>
      </c>
      <c r="C49" s="35">
        <v>2</v>
      </c>
      <c r="D49" s="53"/>
      <c r="E49" s="54"/>
      <c r="F49" s="54"/>
      <c r="G49" s="54"/>
      <c r="H49" s="55"/>
      <c r="I49" s="13"/>
      <c r="J49" s="13"/>
      <c r="K49" s="11"/>
      <c r="L49" s="13"/>
      <c r="M49" s="13"/>
      <c r="N49" s="90"/>
      <c r="O49" s="13"/>
      <c r="P49" s="13"/>
      <c r="Q49" s="13"/>
      <c r="R49" s="13"/>
      <c r="S49" s="11"/>
      <c r="T49" s="11"/>
      <c r="U49" s="91"/>
      <c r="V49" s="64"/>
    </row>
    <row r="50" spans="2:22" s="1" customFormat="1" ht="17.399999999999999" customHeight="1" x14ac:dyDescent="0.4">
      <c r="B50" s="52">
        <v>46054</v>
      </c>
      <c r="C50" s="35">
        <v>2</v>
      </c>
      <c r="D50" s="53"/>
      <c r="E50" s="54"/>
      <c r="F50" s="54"/>
      <c r="G50" s="54"/>
      <c r="H50" s="55"/>
      <c r="I50" s="13"/>
      <c r="J50" s="13"/>
      <c r="K50" s="11"/>
      <c r="L50" s="13"/>
      <c r="M50" s="13"/>
      <c r="N50" s="90"/>
      <c r="O50" s="13"/>
      <c r="P50" s="13"/>
      <c r="Q50" s="13"/>
      <c r="R50" s="13"/>
      <c r="S50" s="11"/>
      <c r="T50" s="24"/>
      <c r="U50" s="24"/>
      <c r="V50" s="64"/>
    </row>
    <row r="51" spans="2:22" s="1" customFormat="1" ht="17.100000000000001" customHeight="1" x14ac:dyDescent="0.4">
      <c r="B51" s="52">
        <v>46054</v>
      </c>
      <c r="C51" s="35">
        <v>2</v>
      </c>
      <c r="D51" s="53"/>
      <c r="E51" s="54"/>
      <c r="F51" s="54"/>
      <c r="G51" s="54"/>
      <c r="H51" s="55"/>
      <c r="I51" s="13"/>
      <c r="J51" s="13"/>
      <c r="K51" s="11"/>
      <c r="L51" s="13"/>
      <c r="M51" s="13"/>
      <c r="N51" s="11"/>
      <c r="O51" s="13"/>
      <c r="P51" s="13"/>
      <c r="Q51" s="13"/>
      <c r="R51" s="13"/>
      <c r="S51" s="11"/>
      <c r="T51" s="11"/>
      <c r="U51" s="24"/>
      <c r="V51" s="64"/>
    </row>
    <row r="52" spans="2:22" s="1" customFormat="1" ht="17.100000000000001" customHeight="1" x14ac:dyDescent="0.4">
      <c r="B52" s="52">
        <v>46054</v>
      </c>
      <c r="C52" s="35">
        <v>2</v>
      </c>
      <c r="D52" s="53"/>
      <c r="E52" s="55"/>
      <c r="F52" s="55"/>
      <c r="G52" s="54"/>
      <c r="H52" s="55"/>
      <c r="I52" s="13"/>
      <c r="J52" s="13"/>
      <c r="K52" s="11"/>
      <c r="L52" s="13"/>
      <c r="M52" s="13"/>
      <c r="N52" s="90"/>
      <c r="O52" s="13"/>
      <c r="P52" s="13"/>
      <c r="Q52" s="13"/>
      <c r="R52" s="13"/>
      <c r="S52" s="11"/>
      <c r="T52" s="11"/>
      <c r="U52" s="55"/>
      <c r="V52" s="64"/>
    </row>
    <row r="53" spans="2:22" s="1" customFormat="1" ht="17.100000000000001" customHeight="1" x14ac:dyDescent="0.4">
      <c r="B53" s="52">
        <v>46054</v>
      </c>
      <c r="C53" s="35">
        <v>2</v>
      </c>
      <c r="D53" s="53"/>
      <c r="E53" s="55"/>
      <c r="F53" s="55"/>
      <c r="G53" s="54"/>
      <c r="H53" s="55"/>
      <c r="I53" s="13"/>
      <c r="J53" s="13"/>
      <c r="K53" s="11"/>
      <c r="L53" s="13"/>
      <c r="M53" s="13"/>
      <c r="N53" s="90"/>
      <c r="O53" s="13"/>
      <c r="P53" s="13"/>
      <c r="Q53" s="13"/>
      <c r="R53" s="13"/>
      <c r="S53" s="11"/>
      <c r="T53" s="11"/>
      <c r="U53" s="91"/>
      <c r="V53" s="64"/>
    </row>
    <row r="54" spans="2:22" s="1" customFormat="1" ht="17.100000000000001" customHeight="1" x14ac:dyDescent="0.4">
      <c r="B54" s="52">
        <v>46054</v>
      </c>
      <c r="C54" s="35">
        <v>2</v>
      </c>
      <c r="D54" s="53"/>
      <c r="E54" s="54"/>
      <c r="F54" s="54"/>
      <c r="G54" s="54"/>
      <c r="H54" s="55"/>
      <c r="I54" s="13"/>
      <c r="J54" s="13"/>
      <c r="K54" s="11"/>
      <c r="L54" s="13"/>
      <c r="M54" s="13"/>
      <c r="N54" s="11"/>
      <c r="O54" s="54"/>
      <c r="P54" s="13"/>
      <c r="Q54" s="13"/>
      <c r="R54" s="13"/>
      <c r="S54" s="11"/>
      <c r="T54" s="11"/>
      <c r="U54" s="54"/>
      <c r="V54" s="64"/>
    </row>
    <row r="55" spans="2:22" s="1" customFormat="1" ht="17.100000000000001" customHeight="1" x14ac:dyDescent="0.4">
      <c r="B55" s="52">
        <v>46054</v>
      </c>
      <c r="C55" s="35">
        <v>2</v>
      </c>
      <c r="D55" s="53"/>
      <c r="E55" s="54"/>
      <c r="F55" s="54"/>
      <c r="G55" s="54"/>
      <c r="H55" s="55"/>
      <c r="I55" s="13"/>
      <c r="J55" s="13"/>
      <c r="K55" s="11"/>
      <c r="L55" s="13"/>
      <c r="M55" s="13"/>
      <c r="N55" s="90"/>
      <c r="O55" s="11"/>
      <c r="P55" s="11"/>
      <c r="Q55" s="11"/>
      <c r="R55" s="13"/>
      <c r="S55" s="13"/>
      <c r="T55" s="11"/>
      <c r="U55" s="94"/>
      <c r="V55" s="64"/>
    </row>
    <row r="56" spans="2:22" s="1" customFormat="1" ht="17.100000000000001" customHeight="1" x14ac:dyDescent="0.4">
      <c r="B56" s="52">
        <v>46054</v>
      </c>
      <c r="C56" s="35">
        <v>2</v>
      </c>
      <c r="D56" s="53"/>
      <c r="E56" s="55"/>
      <c r="F56" s="55"/>
      <c r="G56" s="54"/>
      <c r="H56" s="55"/>
      <c r="I56" s="10"/>
      <c r="J56" s="10"/>
      <c r="K56" s="11"/>
      <c r="L56" s="10"/>
      <c r="M56" s="10"/>
      <c r="N56" s="90"/>
      <c r="O56" s="13"/>
      <c r="P56" s="13"/>
      <c r="Q56" s="13"/>
      <c r="R56" s="13"/>
      <c r="S56" s="11"/>
      <c r="T56" s="11"/>
      <c r="U56" s="24"/>
      <c r="V56" s="64"/>
    </row>
    <row r="57" spans="2:22" s="1" customFormat="1" ht="17.100000000000001" customHeight="1" x14ac:dyDescent="0.4">
      <c r="B57" s="52">
        <v>46055</v>
      </c>
      <c r="C57" s="35">
        <v>2</v>
      </c>
      <c r="D57" s="53"/>
      <c r="E57" s="54"/>
      <c r="F57" s="54"/>
      <c r="G57" s="54"/>
      <c r="H57" s="55"/>
      <c r="I57" s="13"/>
      <c r="J57" s="13"/>
      <c r="K57" s="11"/>
      <c r="L57" s="13"/>
      <c r="M57" s="13"/>
      <c r="N57" s="90"/>
      <c r="O57" s="13"/>
      <c r="P57" s="13"/>
      <c r="Q57" s="13"/>
      <c r="R57" s="13"/>
      <c r="S57" s="11"/>
      <c r="T57" s="11"/>
      <c r="U57" s="94"/>
      <c r="V57" s="64"/>
    </row>
    <row r="58" spans="2:22" s="1" customFormat="1" ht="17.100000000000001" customHeight="1" x14ac:dyDescent="0.4">
      <c r="B58" s="52">
        <v>46055</v>
      </c>
      <c r="C58" s="35">
        <v>2</v>
      </c>
      <c r="D58" s="53"/>
      <c r="E58" s="54"/>
      <c r="F58" s="54"/>
      <c r="G58" s="54"/>
      <c r="H58" s="55"/>
      <c r="I58" s="13"/>
      <c r="J58" s="13"/>
      <c r="K58" s="11"/>
      <c r="L58" s="13"/>
      <c r="M58" s="13"/>
      <c r="N58" s="90"/>
      <c r="O58" s="13"/>
      <c r="P58" s="13"/>
      <c r="Q58" s="13"/>
      <c r="R58" s="13"/>
      <c r="S58" s="11"/>
      <c r="T58" s="11"/>
      <c r="U58" s="92"/>
      <c r="V58" s="64"/>
    </row>
    <row r="59" spans="2:22" s="1" customFormat="1" ht="17.100000000000001" customHeight="1" x14ac:dyDescent="0.4">
      <c r="B59" s="52">
        <v>46055</v>
      </c>
      <c r="C59" s="35">
        <v>2</v>
      </c>
      <c r="D59" s="53"/>
      <c r="E59" s="54"/>
      <c r="F59" s="54"/>
      <c r="G59" s="54"/>
      <c r="H59" s="55"/>
      <c r="I59" s="13"/>
      <c r="J59" s="13"/>
      <c r="K59" s="11"/>
      <c r="L59" s="13"/>
      <c r="M59" s="13"/>
      <c r="N59" s="90"/>
      <c r="O59" s="13"/>
      <c r="P59" s="13"/>
      <c r="Q59" s="13"/>
      <c r="R59" s="13"/>
      <c r="S59" s="11"/>
      <c r="T59" s="11"/>
      <c r="U59" s="92"/>
      <c r="V59" s="64"/>
    </row>
    <row r="60" spans="2:22" s="1" customFormat="1" ht="17.100000000000001" customHeight="1" x14ac:dyDescent="0.4">
      <c r="B60" s="52">
        <v>46056</v>
      </c>
      <c r="C60" s="35">
        <v>2</v>
      </c>
      <c r="D60" s="53"/>
      <c r="E60" s="54"/>
      <c r="F60" s="54"/>
      <c r="G60" s="54"/>
      <c r="H60" s="55"/>
      <c r="I60" s="13"/>
      <c r="J60" s="13"/>
      <c r="K60" s="11"/>
      <c r="L60" s="84"/>
      <c r="M60" s="13"/>
      <c r="N60" s="90"/>
      <c r="O60" s="13"/>
      <c r="P60" s="13"/>
      <c r="Q60" s="13"/>
      <c r="R60" s="13"/>
      <c r="S60" s="11"/>
      <c r="T60" s="11"/>
      <c r="U60" s="54"/>
      <c r="V60" s="64"/>
    </row>
    <row r="61" spans="2:22" s="1" customFormat="1" ht="17.100000000000001" customHeight="1" x14ac:dyDescent="0.4">
      <c r="B61" s="52">
        <v>46056</v>
      </c>
      <c r="C61" s="35">
        <v>2</v>
      </c>
      <c r="D61" s="53"/>
      <c r="E61" s="54"/>
      <c r="F61" s="54"/>
      <c r="G61" s="54"/>
      <c r="H61" s="55"/>
      <c r="I61" s="13"/>
      <c r="J61" s="13"/>
      <c r="K61" s="11"/>
      <c r="L61" s="13"/>
      <c r="M61" s="13"/>
      <c r="N61" s="11"/>
      <c r="O61" s="13"/>
      <c r="P61" s="13"/>
      <c r="Q61" s="13"/>
      <c r="R61" s="13"/>
      <c r="S61" s="11"/>
      <c r="T61" s="11"/>
      <c r="U61" s="24"/>
      <c r="V61" s="64"/>
    </row>
    <row r="62" spans="2:22" s="1" customFormat="1" ht="17.100000000000001" customHeight="1" x14ac:dyDescent="0.4">
      <c r="B62" s="52">
        <v>46056</v>
      </c>
      <c r="C62" s="35">
        <v>2</v>
      </c>
      <c r="D62" s="53"/>
      <c r="E62" s="54"/>
      <c r="F62" s="54"/>
      <c r="G62" s="54"/>
      <c r="H62" s="55"/>
      <c r="I62" s="13"/>
      <c r="J62" s="13"/>
      <c r="K62" s="11"/>
      <c r="L62" s="13"/>
      <c r="M62" s="13"/>
      <c r="N62" s="90"/>
      <c r="O62" s="13"/>
      <c r="P62" s="13"/>
      <c r="Q62" s="13"/>
      <c r="R62" s="13"/>
      <c r="S62" s="11"/>
      <c r="T62" s="11"/>
      <c r="U62" s="94"/>
      <c r="V62" s="64"/>
    </row>
    <row r="63" spans="2:22" s="1" customFormat="1" ht="17.100000000000001" customHeight="1" x14ac:dyDescent="0.4">
      <c r="B63" s="52">
        <v>46056</v>
      </c>
      <c r="C63" s="35">
        <v>2</v>
      </c>
      <c r="D63" s="53"/>
      <c r="E63" s="54"/>
      <c r="F63" s="54"/>
      <c r="G63" s="54"/>
      <c r="H63" s="55"/>
      <c r="I63" s="13"/>
      <c r="J63" s="13"/>
      <c r="K63" s="11"/>
      <c r="L63" s="13"/>
      <c r="M63" s="13"/>
      <c r="N63" s="90"/>
      <c r="O63" s="13"/>
      <c r="P63" s="13"/>
      <c r="Q63" s="13"/>
      <c r="R63" s="13"/>
      <c r="S63" s="11"/>
      <c r="T63" s="13"/>
      <c r="U63" s="92"/>
      <c r="V63" s="64"/>
    </row>
    <row r="64" spans="2:22" s="1" customFormat="1" ht="17.100000000000001" customHeight="1" x14ac:dyDescent="0.4">
      <c r="B64" s="52">
        <v>46057</v>
      </c>
      <c r="C64" s="35">
        <v>2</v>
      </c>
      <c r="D64" s="53"/>
      <c r="E64" s="54"/>
      <c r="F64" s="54"/>
      <c r="G64" s="54"/>
      <c r="H64" s="55"/>
      <c r="I64" s="13"/>
      <c r="J64" s="13"/>
      <c r="K64" s="11"/>
      <c r="L64" s="13"/>
      <c r="M64" s="13"/>
      <c r="N64" s="90"/>
      <c r="O64" s="13"/>
      <c r="P64" s="13"/>
      <c r="Q64" s="89"/>
      <c r="R64" s="13"/>
      <c r="S64" s="11"/>
      <c r="T64" s="13"/>
      <c r="U64" s="92"/>
      <c r="V64" s="64"/>
    </row>
    <row r="65" spans="2:22" s="1" customFormat="1" ht="17.100000000000001" customHeight="1" x14ac:dyDescent="0.4">
      <c r="B65" s="52">
        <v>46057</v>
      </c>
      <c r="C65" s="35">
        <v>2</v>
      </c>
      <c r="D65" s="53"/>
      <c r="E65" s="54"/>
      <c r="F65" s="54"/>
      <c r="G65" s="54"/>
      <c r="H65" s="55"/>
      <c r="I65" s="13"/>
      <c r="J65" s="13"/>
      <c r="K65" s="11"/>
      <c r="L65" s="13"/>
      <c r="M65" s="13"/>
      <c r="N65" s="90"/>
      <c r="O65" s="13"/>
      <c r="P65" s="13"/>
      <c r="Q65" s="13"/>
      <c r="R65" s="13"/>
      <c r="S65" s="13"/>
      <c r="T65" s="13"/>
      <c r="U65" s="92"/>
      <c r="V65" s="64"/>
    </row>
    <row r="66" spans="2:22" s="1" customFormat="1" ht="17.100000000000001" customHeight="1" x14ac:dyDescent="0.4">
      <c r="B66" s="52">
        <v>46057</v>
      </c>
      <c r="C66" s="35">
        <v>2</v>
      </c>
      <c r="D66" s="53"/>
      <c r="E66" s="54"/>
      <c r="F66" s="54"/>
      <c r="G66" s="54"/>
      <c r="H66" s="55"/>
      <c r="I66" s="13"/>
      <c r="J66" s="13"/>
      <c r="K66" s="11"/>
      <c r="L66" s="13"/>
      <c r="M66" s="13"/>
      <c r="N66" s="90"/>
      <c r="O66" s="13"/>
      <c r="P66" s="13"/>
      <c r="Q66" s="13"/>
      <c r="R66" s="13"/>
      <c r="S66" s="11"/>
      <c r="T66" s="11"/>
      <c r="U66" s="92"/>
      <c r="V66" s="64"/>
    </row>
    <row r="67" spans="2:22" s="1" customFormat="1" ht="17.100000000000001" customHeight="1" x14ac:dyDescent="0.4">
      <c r="B67" s="52">
        <v>46057</v>
      </c>
      <c r="C67" s="35">
        <v>2</v>
      </c>
      <c r="D67" s="53"/>
      <c r="E67" s="54"/>
      <c r="F67" s="54"/>
      <c r="G67" s="54"/>
      <c r="H67" s="55"/>
      <c r="I67" s="13"/>
      <c r="J67" s="13"/>
      <c r="K67" s="11"/>
      <c r="L67" s="13"/>
      <c r="M67" s="13"/>
      <c r="N67" s="90"/>
      <c r="O67" s="13"/>
      <c r="P67" s="13"/>
      <c r="Q67" s="13"/>
      <c r="R67" s="13"/>
      <c r="S67" s="11"/>
      <c r="T67" s="11"/>
      <c r="U67" s="92"/>
      <c r="V67" s="64"/>
    </row>
    <row r="68" spans="2:22" s="1" customFormat="1" ht="17.100000000000001" customHeight="1" x14ac:dyDescent="0.4">
      <c r="B68" s="52">
        <v>46058</v>
      </c>
      <c r="C68" s="35">
        <v>2</v>
      </c>
      <c r="D68" s="53"/>
      <c r="E68" s="54"/>
      <c r="F68" s="54"/>
      <c r="G68" s="54"/>
      <c r="H68" s="55"/>
      <c r="I68" s="13"/>
      <c r="J68" s="13"/>
      <c r="K68" s="11"/>
      <c r="L68" s="13"/>
      <c r="M68" s="13"/>
      <c r="N68" s="90"/>
      <c r="O68" s="13"/>
      <c r="P68" s="13"/>
      <c r="Q68" s="13"/>
      <c r="R68" s="13"/>
      <c r="S68" s="11"/>
      <c r="T68" s="11"/>
      <c r="U68" s="92"/>
      <c r="V68" s="64"/>
    </row>
    <row r="69" spans="2:22" s="1" customFormat="1" ht="17.100000000000001" customHeight="1" x14ac:dyDescent="0.4">
      <c r="B69" s="52">
        <v>46058</v>
      </c>
      <c r="C69" s="35">
        <v>2</v>
      </c>
      <c r="D69" s="53"/>
      <c r="E69" s="55"/>
      <c r="F69" s="54"/>
      <c r="G69" s="54"/>
      <c r="H69" s="55"/>
      <c r="I69" s="13"/>
      <c r="J69" s="13"/>
      <c r="K69" s="11"/>
      <c r="L69" s="13"/>
      <c r="M69" s="13"/>
      <c r="N69" s="90"/>
      <c r="O69" s="13"/>
      <c r="P69" s="13"/>
      <c r="Q69" s="13"/>
      <c r="R69" s="13"/>
      <c r="S69" s="11"/>
      <c r="T69" s="11"/>
      <c r="U69" s="55"/>
      <c r="V69" s="64"/>
    </row>
    <row r="70" spans="2:22" s="1" customFormat="1" ht="17.100000000000001" customHeight="1" x14ac:dyDescent="0.4">
      <c r="B70" s="52">
        <v>46058</v>
      </c>
      <c r="C70" s="35">
        <v>2</v>
      </c>
      <c r="D70" s="53"/>
      <c r="E70" s="54"/>
      <c r="F70" s="54"/>
      <c r="G70" s="54"/>
      <c r="H70" s="55"/>
      <c r="I70" s="13"/>
      <c r="J70" s="13"/>
      <c r="K70" s="11"/>
      <c r="L70" s="13"/>
      <c r="M70" s="13"/>
      <c r="N70" s="90"/>
      <c r="O70" s="13"/>
      <c r="P70" s="13"/>
      <c r="Q70" s="13"/>
      <c r="R70" s="13"/>
      <c r="S70" s="11"/>
      <c r="T70" s="11"/>
      <c r="U70" s="79"/>
      <c r="V70" s="64"/>
    </row>
    <row r="71" spans="2:22" s="1" customFormat="1" ht="17.100000000000001" customHeight="1" x14ac:dyDescent="0.4">
      <c r="B71" s="52">
        <v>46058</v>
      </c>
      <c r="C71" s="35">
        <v>2</v>
      </c>
      <c r="D71" s="53"/>
      <c r="E71" s="54"/>
      <c r="F71" s="54"/>
      <c r="G71" s="54"/>
      <c r="H71" s="55"/>
      <c r="I71" s="13"/>
      <c r="J71" s="13"/>
      <c r="K71" s="11"/>
      <c r="L71" s="13"/>
      <c r="M71" s="13"/>
      <c r="N71" s="11"/>
      <c r="O71" s="13"/>
      <c r="P71" s="13"/>
      <c r="Q71" s="13"/>
      <c r="R71" s="13"/>
      <c r="S71" s="11"/>
      <c r="T71" s="11"/>
      <c r="U71" s="55"/>
      <c r="V71" s="64"/>
    </row>
    <row r="72" spans="2:22" s="1" customFormat="1" ht="17.100000000000001" customHeight="1" x14ac:dyDescent="0.4">
      <c r="B72" s="52">
        <v>46059</v>
      </c>
      <c r="C72" s="35">
        <v>2</v>
      </c>
      <c r="D72" s="53"/>
      <c r="E72" s="54"/>
      <c r="F72" s="54"/>
      <c r="G72" s="54"/>
      <c r="H72" s="55"/>
      <c r="I72" s="13"/>
      <c r="J72" s="89"/>
      <c r="K72" s="11"/>
      <c r="L72" s="13"/>
      <c r="M72" s="13"/>
      <c r="N72" s="11"/>
      <c r="O72" s="11"/>
      <c r="P72" s="11"/>
      <c r="Q72" s="11"/>
      <c r="R72" s="13"/>
      <c r="S72" s="13"/>
      <c r="T72" s="11"/>
      <c r="U72" s="79"/>
      <c r="V72" s="64"/>
    </row>
    <row r="73" spans="2:22" s="1" customFormat="1" ht="17.100000000000001" customHeight="1" x14ac:dyDescent="0.4">
      <c r="B73" s="52">
        <v>46059</v>
      </c>
      <c r="C73" s="35">
        <v>2</v>
      </c>
      <c r="D73" s="53"/>
      <c r="E73" s="54"/>
      <c r="F73" s="54"/>
      <c r="G73" s="54"/>
      <c r="H73" s="55"/>
      <c r="I73" s="13"/>
      <c r="J73" s="13"/>
      <c r="K73" s="11"/>
      <c r="L73" s="13"/>
      <c r="M73" s="13"/>
      <c r="N73" s="11"/>
      <c r="O73" s="13"/>
      <c r="P73" s="13"/>
      <c r="Q73" s="13"/>
      <c r="R73" s="13"/>
      <c r="S73" s="11"/>
      <c r="T73" s="11"/>
      <c r="U73" s="79"/>
      <c r="V73" s="64"/>
    </row>
    <row r="74" spans="2:22" s="1" customFormat="1" ht="17.100000000000001" customHeight="1" x14ac:dyDescent="0.4">
      <c r="B74" s="52">
        <v>46059</v>
      </c>
      <c r="C74" s="35">
        <v>2</v>
      </c>
      <c r="D74" s="53"/>
      <c r="E74" s="54"/>
      <c r="F74" s="54"/>
      <c r="G74" s="54"/>
      <c r="H74" s="55"/>
      <c r="I74" s="13"/>
      <c r="J74" s="13"/>
      <c r="K74" s="11"/>
      <c r="L74" s="13"/>
      <c r="M74" s="13"/>
      <c r="N74" s="90"/>
      <c r="O74" s="13"/>
      <c r="P74" s="13"/>
      <c r="Q74" s="13"/>
      <c r="R74" s="13"/>
      <c r="S74" s="11"/>
      <c r="T74" s="11"/>
      <c r="U74" s="92"/>
      <c r="V74" s="64"/>
    </row>
    <row r="75" spans="2:22" s="1" customFormat="1" ht="17.100000000000001" customHeight="1" x14ac:dyDescent="0.4">
      <c r="B75" s="52">
        <v>46059</v>
      </c>
      <c r="C75" s="35">
        <v>2</v>
      </c>
      <c r="D75" s="53"/>
      <c r="E75" s="55"/>
      <c r="F75" s="54"/>
      <c r="G75" s="54"/>
      <c r="H75" s="55"/>
      <c r="I75" s="13"/>
      <c r="J75" s="13"/>
      <c r="K75" s="11"/>
      <c r="L75" s="13"/>
      <c r="M75" s="13"/>
      <c r="N75" s="11"/>
      <c r="O75" s="13"/>
      <c r="P75" s="13"/>
      <c r="Q75" s="13"/>
      <c r="R75" s="13"/>
      <c r="S75" s="11"/>
      <c r="T75" s="11"/>
      <c r="U75" s="54"/>
      <c r="V75" s="64"/>
    </row>
    <row r="76" spans="2:22" s="1" customFormat="1" ht="17.100000000000001" customHeight="1" x14ac:dyDescent="0.4">
      <c r="B76" s="52">
        <v>46059</v>
      </c>
      <c r="C76" s="35">
        <v>2</v>
      </c>
      <c r="D76" s="53"/>
      <c r="E76" s="54"/>
      <c r="F76" s="54"/>
      <c r="G76" s="54"/>
      <c r="H76" s="55"/>
      <c r="I76" s="13"/>
      <c r="J76" s="13"/>
      <c r="K76" s="11"/>
      <c r="L76" s="13"/>
      <c r="M76" s="13"/>
      <c r="N76" s="11"/>
      <c r="O76" s="11"/>
      <c r="P76" s="11"/>
      <c r="Q76" s="11"/>
      <c r="R76" s="13"/>
      <c r="S76" s="13"/>
      <c r="T76" s="11"/>
      <c r="U76" s="92"/>
      <c r="V76" s="64"/>
    </row>
    <row r="77" spans="2:22" s="1" customFormat="1" ht="17.100000000000001" customHeight="1" x14ac:dyDescent="0.4">
      <c r="B77" s="52">
        <v>46060</v>
      </c>
      <c r="C77" s="35">
        <v>2</v>
      </c>
      <c r="D77" s="53"/>
      <c r="E77" s="54"/>
      <c r="F77" s="54"/>
      <c r="G77" s="54"/>
      <c r="H77" s="55"/>
      <c r="I77" s="13"/>
      <c r="J77" s="13"/>
      <c r="K77" s="11"/>
      <c r="L77" s="13"/>
      <c r="M77" s="13"/>
      <c r="N77" s="90"/>
      <c r="O77" s="13"/>
      <c r="P77" s="13"/>
      <c r="Q77" s="13"/>
      <c r="R77" s="13"/>
      <c r="S77" s="11"/>
      <c r="T77" s="11"/>
      <c r="U77" s="92"/>
      <c r="V77" s="64"/>
    </row>
    <row r="78" spans="2:22" s="1" customFormat="1" ht="17.100000000000001" customHeight="1" x14ac:dyDescent="0.4">
      <c r="B78" s="52">
        <v>46060</v>
      </c>
      <c r="C78" s="35">
        <v>2</v>
      </c>
      <c r="D78" s="53"/>
      <c r="E78" s="55"/>
      <c r="F78" s="54"/>
      <c r="G78" s="54"/>
      <c r="H78" s="55"/>
      <c r="I78" s="13"/>
      <c r="J78" s="13"/>
      <c r="K78" s="11"/>
      <c r="L78" s="13"/>
      <c r="M78" s="13"/>
      <c r="N78" s="13"/>
      <c r="O78" s="13"/>
      <c r="P78" s="13"/>
      <c r="Q78" s="13"/>
      <c r="R78" s="13"/>
      <c r="S78" s="11"/>
      <c r="T78" s="11"/>
      <c r="U78" s="155"/>
      <c r="V78" s="64"/>
    </row>
    <row r="79" spans="2:22" s="1" customFormat="1" ht="17.100000000000001" customHeight="1" x14ac:dyDescent="0.4">
      <c r="B79" s="52">
        <v>46060</v>
      </c>
      <c r="C79" s="35">
        <v>2</v>
      </c>
      <c r="D79" s="53"/>
      <c r="E79" s="54"/>
      <c r="F79" s="54"/>
      <c r="G79" s="54"/>
      <c r="H79" s="55"/>
      <c r="I79" s="13"/>
      <c r="J79" s="13"/>
      <c r="K79" s="11"/>
      <c r="L79" s="13"/>
      <c r="M79" s="13"/>
      <c r="N79" s="89"/>
      <c r="O79" s="13"/>
      <c r="P79" s="13"/>
      <c r="Q79" s="13"/>
      <c r="R79" s="13"/>
      <c r="S79" s="11"/>
      <c r="T79" s="11"/>
      <c r="U79" s="91"/>
      <c r="V79" s="64"/>
    </row>
    <row r="80" spans="2:22" s="1" customFormat="1" ht="7.2" customHeight="1" thickBot="1" x14ac:dyDescent="0.45">
      <c r="B80" s="52"/>
      <c r="C80" s="35"/>
      <c r="D80" s="53"/>
      <c r="E80" s="54"/>
      <c r="F80" s="54"/>
      <c r="G80" s="54"/>
      <c r="H80" s="55"/>
      <c r="I80" s="13"/>
      <c r="J80" s="13"/>
      <c r="K80" s="11"/>
      <c r="L80" s="13"/>
      <c r="M80" s="13"/>
      <c r="N80" s="11"/>
      <c r="O80" s="54"/>
      <c r="P80" s="13"/>
      <c r="Q80" s="13"/>
      <c r="R80" s="13"/>
      <c r="S80" s="11"/>
      <c r="T80" s="11"/>
      <c r="U80" s="156"/>
      <c r="V80" s="64"/>
    </row>
    <row r="81" spans="2:22" ht="29.4" customHeight="1" thickBot="1" x14ac:dyDescent="0.45">
      <c r="B81" s="166" t="s">
        <v>634</v>
      </c>
      <c r="C81" s="167"/>
      <c r="D81" s="167"/>
      <c r="E81" s="167"/>
      <c r="F81" s="168" t="s">
        <v>435</v>
      </c>
      <c r="G81" s="169"/>
      <c r="H81" s="81"/>
      <c r="I81" s="21">
        <f t="shared" ref="I81:V81" si="0">SUM(I3:I80)</f>
        <v>0</v>
      </c>
      <c r="J81" s="21">
        <f t="shared" si="0"/>
        <v>0</v>
      </c>
      <c r="K81" s="21">
        <f t="shared" si="0"/>
        <v>0</v>
      </c>
      <c r="L81" s="21">
        <f t="shared" si="0"/>
        <v>0</v>
      </c>
      <c r="M81" s="21">
        <f t="shared" si="0"/>
        <v>0</v>
      </c>
      <c r="N81" s="21">
        <f t="shared" si="0"/>
        <v>0</v>
      </c>
      <c r="O81" s="21">
        <f t="shared" si="0"/>
        <v>0</v>
      </c>
      <c r="P81" s="21">
        <f t="shared" si="0"/>
        <v>0</v>
      </c>
      <c r="Q81" s="21">
        <f t="shared" si="0"/>
        <v>0</v>
      </c>
      <c r="R81" s="21">
        <f t="shared" si="0"/>
        <v>0</v>
      </c>
      <c r="S81" s="21">
        <f t="shared" si="0"/>
        <v>0</v>
      </c>
      <c r="T81" s="21">
        <f t="shared" si="0"/>
        <v>0</v>
      </c>
      <c r="U81" s="21">
        <f t="shared" si="0"/>
        <v>0</v>
      </c>
      <c r="V81" s="21">
        <f t="shared" si="0"/>
        <v>0</v>
      </c>
    </row>
  </sheetData>
  <autoFilter ref="B2:V81" xr:uid="{00000000-0009-0000-0000-000004000000}"/>
  <mergeCells count="3">
    <mergeCell ref="B81:E81"/>
    <mergeCell ref="F81:G81"/>
    <mergeCell ref="B1:J1"/>
  </mergeCells>
  <phoneticPr fontId="42" type="noConversion"/>
  <pageMargins left="0.23622047244094491" right="0.23622047244094491" top="0.74803149606299213" bottom="0.74803149606299213" header="0.31496062992125984" footer="0.31496062992125984"/>
  <pageSetup paperSize="9" scale="52" fitToHeight="0" orientation="landscape" r:id="rId1"/>
  <headerFooter>
    <oddFooter>&amp;C&amp;P  of 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>
    <tabColor rgb="FFFF0000"/>
  </sheetPr>
  <dimension ref="A1:X23"/>
  <sheetViews>
    <sheetView tabSelected="1" zoomScale="85" zoomScaleNormal="85" workbookViewId="0">
      <pane xSplit="25320"/>
      <selection activeCell="E12" sqref="E12"/>
      <selection pane="topRight" activeCell="B19" sqref="B19"/>
    </sheetView>
  </sheetViews>
  <sheetFormatPr defaultRowHeight="17.399999999999999" x14ac:dyDescent="0.4"/>
  <cols>
    <col min="1" max="1" width="9.19921875" bestFit="1" customWidth="1"/>
    <col min="2" max="2" width="17.59765625" bestFit="1" customWidth="1"/>
    <col min="3" max="3" width="19.5" bestFit="1" customWidth="1"/>
    <col min="4" max="4" width="19.3984375" bestFit="1" customWidth="1"/>
    <col min="5" max="7" width="19.5" bestFit="1" customWidth="1"/>
    <col min="8" max="8" width="21.3984375" bestFit="1" customWidth="1"/>
    <col min="9" max="9" width="21.296875" bestFit="1" customWidth="1"/>
    <col min="10" max="10" width="2" customWidth="1"/>
    <col min="11" max="15" width="1.3984375" customWidth="1"/>
    <col min="16" max="24" width="9.3984375" customWidth="1"/>
  </cols>
  <sheetData>
    <row r="1" spans="1:24" x14ac:dyDescent="0.4">
      <c r="A1" s="106" t="s">
        <v>393</v>
      </c>
      <c r="B1" s="152">
        <v>2</v>
      </c>
    </row>
    <row r="3" spans="1:24" x14ac:dyDescent="0.4">
      <c r="A3" s="100"/>
      <c r="B3" s="101" t="s">
        <v>387</v>
      </c>
      <c r="C3" s="102"/>
      <c r="D3" s="102"/>
      <c r="E3" s="102"/>
      <c r="F3" s="102"/>
      <c r="G3" s="102"/>
      <c r="H3" s="102"/>
      <c r="I3" s="103"/>
    </row>
    <row r="4" spans="1:24" s="33" customFormat="1" x14ac:dyDescent="0.4">
      <c r="A4" s="161" t="s">
        <v>384</v>
      </c>
      <c r="B4" s="162" t="s">
        <v>388</v>
      </c>
      <c r="C4" s="163" t="s">
        <v>386</v>
      </c>
      <c r="D4" s="104" t="s">
        <v>632</v>
      </c>
      <c r="E4" s="163" t="s">
        <v>389</v>
      </c>
      <c r="F4" s="163" t="s">
        <v>390</v>
      </c>
      <c r="G4" s="163" t="s">
        <v>391</v>
      </c>
      <c r="H4" s="104" t="s">
        <v>571</v>
      </c>
      <c r="I4" s="164" t="s">
        <v>392</v>
      </c>
    </row>
    <row r="5" spans="1:24" x14ac:dyDescent="0.4">
      <c r="A5" s="100" t="s">
        <v>0</v>
      </c>
      <c r="B5" s="100">
        <v>9</v>
      </c>
      <c r="C5" s="104">
        <v>6</v>
      </c>
      <c r="D5" s="104">
        <v>1</v>
      </c>
      <c r="E5" s="104">
        <v>2</v>
      </c>
      <c r="F5" s="104">
        <v>3</v>
      </c>
      <c r="G5" s="104">
        <v>1</v>
      </c>
      <c r="H5" s="104">
        <v>10</v>
      </c>
      <c r="I5" s="157">
        <v>2</v>
      </c>
    </row>
    <row r="6" spans="1:24" x14ac:dyDescent="0.4">
      <c r="A6" s="151" t="s">
        <v>1</v>
      </c>
      <c r="B6" s="151">
        <v>9</v>
      </c>
      <c r="C6">
        <v>6</v>
      </c>
      <c r="D6">
        <v>2</v>
      </c>
      <c r="E6">
        <v>4</v>
      </c>
      <c r="F6">
        <v>3</v>
      </c>
      <c r="G6">
        <v>3</v>
      </c>
      <c r="H6">
        <v>11</v>
      </c>
      <c r="I6" s="158">
        <v>3</v>
      </c>
    </row>
    <row r="7" spans="1:24" x14ac:dyDescent="0.4">
      <c r="A7" s="151" t="s">
        <v>27</v>
      </c>
      <c r="B7" s="151">
        <v>2</v>
      </c>
      <c r="C7">
        <v>5</v>
      </c>
      <c r="F7">
        <v>2</v>
      </c>
      <c r="H7">
        <v>5</v>
      </c>
      <c r="I7" s="158"/>
    </row>
    <row r="8" spans="1:24" x14ac:dyDescent="0.4">
      <c r="A8" s="151" t="s">
        <v>24</v>
      </c>
      <c r="B8" s="151">
        <v>14</v>
      </c>
      <c r="C8">
        <v>8</v>
      </c>
      <c r="D8">
        <v>1</v>
      </c>
      <c r="E8">
        <v>1</v>
      </c>
      <c r="H8">
        <v>12</v>
      </c>
      <c r="I8" s="158">
        <v>1</v>
      </c>
    </row>
    <row r="9" spans="1:24" x14ac:dyDescent="0.4">
      <c r="A9" s="151" t="s">
        <v>635</v>
      </c>
      <c r="B9" s="151"/>
      <c r="H9">
        <v>3</v>
      </c>
      <c r="I9" s="158"/>
    </row>
    <row r="10" spans="1:24" x14ac:dyDescent="0.4">
      <c r="A10" s="105" t="s">
        <v>385</v>
      </c>
      <c r="B10" s="105">
        <v>34</v>
      </c>
      <c r="C10" s="159">
        <v>25</v>
      </c>
      <c r="D10" s="159">
        <v>4</v>
      </c>
      <c r="E10" s="159">
        <v>7</v>
      </c>
      <c r="F10" s="159">
        <v>8</v>
      </c>
      <c r="G10" s="159">
        <v>4</v>
      </c>
      <c r="H10" s="159">
        <v>41</v>
      </c>
      <c r="I10" s="160">
        <v>6</v>
      </c>
    </row>
    <row r="11" spans="1:24" ht="18" thickBot="1" x14ac:dyDescent="0.45"/>
    <row r="12" spans="1:24" ht="34.799999999999997" x14ac:dyDescent="0.4">
      <c r="P12" s="72" t="s">
        <v>508</v>
      </c>
      <c r="Q12" s="73" t="s">
        <v>404</v>
      </c>
      <c r="R12" s="73" t="s">
        <v>407</v>
      </c>
      <c r="S12" s="74" t="s">
        <v>572</v>
      </c>
      <c r="T12" s="73" t="s">
        <v>405</v>
      </c>
      <c r="U12" s="75" t="s">
        <v>408</v>
      </c>
      <c r="V12" s="73" t="s">
        <v>406</v>
      </c>
      <c r="W12" s="74" t="s">
        <v>411</v>
      </c>
      <c r="X12" s="76" t="s">
        <v>409</v>
      </c>
    </row>
    <row r="13" spans="1:24" x14ac:dyDescent="0.4">
      <c r="P13" s="108" t="s">
        <v>0</v>
      </c>
      <c r="Q13" s="87">
        <v>9</v>
      </c>
      <c r="R13" s="87">
        <v>6</v>
      </c>
      <c r="S13" s="87">
        <v>1</v>
      </c>
      <c r="T13" s="87">
        <v>2</v>
      </c>
      <c r="U13" s="87">
        <v>3</v>
      </c>
      <c r="V13" s="87">
        <v>1</v>
      </c>
      <c r="W13" s="87">
        <v>10</v>
      </c>
      <c r="X13" s="109">
        <v>2</v>
      </c>
    </row>
    <row r="14" spans="1:24" x14ac:dyDescent="0.4">
      <c r="P14" s="108" t="s">
        <v>1</v>
      </c>
      <c r="Q14" s="87">
        <v>9</v>
      </c>
      <c r="R14" s="87">
        <v>6</v>
      </c>
      <c r="S14" s="87">
        <v>2</v>
      </c>
      <c r="T14" s="87">
        <v>4</v>
      </c>
      <c r="U14" s="87">
        <v>3</v>
      </c>
      <c r="V14" s="87">
        <v>3</v>
      </c>
      <c r="W14" s="87">
        <v>11</v>
      </c>
      <c r="X14" s="109">
        <v>3</v>
      </c>
    </row>
    <row r="15" spans="1:24" x14ac:dyDescent="0.4">
      <c r="P15" s="108" t="s">
        <v>573</v>
      </c>
      <c r="Q15" s="87">
        <v>2</v>
      </c>
      <c r="R15" s="87">
        <v>5</v>
      </c>
      <c r="S15" s="87"/>
      <c r="T15" s="87"/>
      <c r="U15" s="87">
        <v>1</v>
      </c>
      <c r="V15" s="87"/>
      <c r="W15" s="87">
        <v>5</v>
      </c>
      <c r="X15" s="109"/>
    </row>
    <row r="16" spans="1:24" x14ac:dyDescent="0.4">
      <c r="P16" s="108" t="s">
        <v>574</v>
      </c>
      <c r="Q16" s="87">
        <v>14</v>
      </c>
      <c r="R16" s="87">
        <v>8</v>
      </c>
      <c r="S16" s="87">
        <v>1</v>
      </c>
      <c r="T16" s="87">
        <v>1</v>
      </c>
      <c r="U16" s="87"/>
      <c r="V16" s="87"/>
      <c r="W16" s="87">
        <v>12</v>
      </c>
      <c r="X16" s="109">
        <v>1</v>
      </c>
    </row>
    <row r="17" spans="2:24" x14ac:dyDescent="0.4">
      <c r="P17" s="108" t="s">
        <v>410</v>
      </c>
      <c r="Q17" s="87"/>
      <c r="R17" s="87"/>
      <c r="S17" s="87"/>
      <c r="T17" s="87"/>
      <c r="U17" s="87"/>
      <c r="V17" s="87"/>
      <c r="W17" s="87"/>
      <c r="X17" s="109"/>
    </row>
    <row r="18" spans="2:24" ht="18" thickBot="1" x14ac:dyDescent="0.45">
      <c r="P18" s="56" t="s">
        <v>385</v>
      </c>
      <c r="Q18" s="77">
        <f>SUM(Q13:Q17)</f>
        <v>34</v>
      </c>
      <c r="R18" s="77">
        <f>SUM(R13:R17)</f>
        <v>25</v>
      </c>
      <c r="S18" s="77">
        <f t="shared" ref="S18:X18" si="0">SUM(S13:S17)</f>
        <v>4</v>
      </c>
      <c r="T18" s="77">
        <f t="shared" si="0"/>
        <v>7</v>
      </c>
      <c r="U18" s="77">
        <f t="shared" si="0"/>
        <v>7</v>
      </c>
      <c r="V18" s="77">
        <f t="shared" si="0"/>
        <v>4</v>
      </c>
      <c r="W18" s="77">
        <f t="shared" si="0"/>
        <v>38</v>
      </c>
      <c r="X18" s="78">
        <f t="shared" si="0"/>
        <v>6</v>
      </c>
    </row>
    <row r="19" spans="2:24" ht="28.2" x14ac:dyDescent="0.4">
      <c r="B19" ph="1"/>
    </row>
    <row r="23" spans="2:24" s="23" customFormat="1" x14ac:dyDescent="0.4">
      <c r="J23"/>
      <c r="K23"/>
      <c r="L23"/>
      <c r="M23"/>
    </row>
  </sheetData>
  <phoneticPr fontId="16" type="noConversion"/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>
    <tabColor rgb="FF7030A0"/>
  </sheetPr>
  <dimension ref="A1:N326"/>
  <sheetViews>
    <sheetView topLeftCell="A299" zoomScale="85" zoomScaleNormal="85" workbookViewId="0">
      <selection activeCell="J172" sqref="J172"/>
    </sheetView>
  </sheetViews>
  <sheetFormatPr defaultColWidth="8.8984375" defaultRowHeight="17.399999999999999" x14ac:dyDescent="0.4"/>
  <cols>
    <col min="1" max="1" width="9" style="110" customWidth="1"/>
    <col min="2" max="2" width="7.5" style="110" customWidth="1"/>
    <col min="3" max="4" width="11.3984375" style="110" customWidth="1"/>
    <col min="5" max="5" width="7.59765625" style="110" customWidth="1"/>
    <col min="6" max="8" width="8" style="112" customWidth="1"/>
    <col min="9" max="10" width="8.8984375" style="112"/>
    <col min="11" max="14" width="8.8984375" style="149"/>
    <col min="15" max="256" width="8.8984375" style="112"/>
    <col min="257" max="257" width="9" style="112" customWidth="1"/>
    <col min="258" max="258" width="7.5" style="112" customWidth="1"/>
    <col min="259" max="260" width="11.3984375" style="112" customWidth="1"/>
    <col min="261" max="261" width="7.59765625" style="112" customWidth="1"/>
    <col min="262" max="264" width="8" style="112" customWidth="1"/>
    <col min="265" max="512" width="8.8984375" style="112"/>
    <col min="513" max="513" width="9" style="112" customWidth="1"/>
    <col min="514" max="514" width="7.5" style="112" customWidth="1"/>
    <col min="515" max="516" width="11.3984375" style="112" customWidth="1"/>
    <col min="517" max="517" width="7.59765625" style="112" customWidth="1"/>
    <col min="518" max="520" width="8" style="112" customWidth="1"/>
    <col min="521" max="768" width="8.8984375" style="112"/>
    <col min="769" max="769" width="9" style="112" customWidth="1"/>
    <col min="770" max="770" width="7.5" style="112" customWidth="1"/>
    <col min="771" max="772" width="11.3984375" style="112" customWidth="1"/>
    <col min="773" max="773" width="7.59765625" style="112" customWidth="1"/>
    <col min="774" max="776" width="8" style="112" customWidth="1"/>
    <col min="777" max="1024" width="8.8984375" style="112"/>
    <col min="1025" max="1025" width="9" style="112" customWidth="1"/>
    <col min="1026" max="1026" width="7.5" style="112" customWidth="1"/>
    <col min="1027" max="1028" width="11.3984375" style="112" customWidth="1"/>
    <col min="1029" max="1029" width="7.59765625" style="112" customWidth="1"/>
    <col min="1030" max="1032" width="8" style="112" customWidth="1"/>
    <col min="1033" max="1280" width="8.8984375" style="112"/>
    <col min="1281" max="1281" width="9" style="112" customWidth="1"/>
    <col min="1282" max="1282" width="7.5" style="112" customWidth="1"/>
    <col min="1283" max="1284" width="11.3984375" style="112" customWidth="1"/>
    <col min="1285" max="1285" width="7.59765625" style="112" customWidth="1"/>
    <col min="1286" max="1288" width="8" style="112" customWidth="1"/>
    <col min="1289" max="1536" width="8.8984375" style="112"/>
    <col min="1537" max="1537" width="9" style="112" customWidth="1"/>
    <col min="1538" max="1538" width="7.5" style="112" customWidth="1"/>
    <col min="1539" max="1540" width="11.3984375" style="112" customWidth="1"/>
    <col min="1541" max="1541" width="7.59765625" style="112" customWidth="1"/>
    <col min="1542" max="1544" width="8" style="112" customWidth="1"/>
    <col min="1545" max="1792" width="8.8984375" style="112"/>
    <col min="1793" max="1793" width="9" style="112" customWidth="1"/>
    <col min="1794" max="1794" width="7.5" style="112" customWidth="1"/>
    <col min="1795" max="1796" width="11.3984375" style="112" customWidth="1"/>
    <col min="1797" max="1797" width="7.59765625" style="112" customWidth="1"/>
    <col min="1798" max="1800" width="8" style="112" customWidth="1"/>
    <col min="1801" max="2048" width="8.8984375" style="112"/>
    <col min="2049" max="2049" width="9" style="112" customWidth="1"/>
    <col min="2050" max="2050" width="7.5" style="112" customWidth="1"/>
    <col min="2051" max="2052" width="11.3984375" style="112" customWidth="1"/>
    <col min="2053" max="2053" width="7.59765625" style="112" customWidth="1"/>
    <col min="2054" max="2056" width="8" style="112" customWidth="1"/>
    <col min="2057" max="2304" width="8.8984375" style="112"/>
    <col min="2305" max="2305" width="9" style="112" customWidth="1"/>
    <col min="2306" max="2306" width="7.5" style="112" customWidth="1"/>
    <col min="2307" max="2308" width="11.3984375" style="112" customWidth="1"/>
    <col min="2309" max="2309" width="7.59765625" style="112" customWidth="1"/>
    <col min="2310" max="2312" width="8" style="112" customWidth="1"/>
    <col min="2313" max="2560" width="8.8984375" style="112"/>
    <col min="2561" max="2561" width="9" style="112" customWidth="1"/>
    <col min="2562" max="2562" width="7.5" style="112" customWidth="1"/>
    <col min="2563" max="2564" width="11.3984375" style="112" customWidth="1"/>
    <col min="2565" max="2565" width="7.59765625" style="112" customWidth="1"/>
    <col min="2566" max="2568" width="8" style="112" customWidth="1"/>
    <col min="2569" max="2816" width="8.8984375" style="112"/>
    <col min="2817" max="2817" width="9" style="112" customWidth="1"/>
    <col min="2818" max="2818" width="7.5" style="112" customWidth="1"/>
    <col min="2819" max="2820" width="11.3984375" style="112" customWidth="1"/>
    <col min="2821" max="2821" width="7.59765625" style="112" customWidth="1"/>
    <col min="2822" max="2824" width="8" style="112" customWidth="1"/>
    <col min="2825" max="3072" width="8.8984375" style="112"/>
    <col min="3073" max="3073" width="9" style="112" customWidth="1"/>
    <col min="3074" max="3074" width="7.5" style="112" customWidth="1"/>
    <col min="3075" max="3076" width="11.3984375" style="112" customWidth="1"/>
    <col min="3077" max="3077" width="7.59765625" style="112" customWidth="1"/>
    <col min="3078" max="3080" width="8" style="112" customWidth="1"/>
    <col min="3081" max="3328" width="8.8984375" style="112"/>
    <col min="3329" max="3329" width="9" style="112" customWidth="1"/>
    <col min="3330" max="3330" width="7.5" style="112" customWidth="1"/>
    <col min="3331" max="3332" width="11.3984375" style="112" customWidth="1"/>
    <col min="3333" max="3333" width="7.59765625" style="112" customWidth="1"/>
    <col min="3334" max="3336" width="8" style="112" customWidth="1"/>
    <col min="3337" max="3584" width="8.8984375" style="112"/>
    <col min="3585" max="3585" width="9" style="112" customWidth="1"/>
    <col min="3586" max="3586" width="7.5" style="112" customWidth="1"/>
    <col min="3587" max="3588" width="11.3984375" style="112" customWidth="1"/>
    <col min="3589" max="3589" width="7.59765625" style="112" customWidth="1"/>
    <col min="3590" max="3592" width="8" style="112" customWidth="1"/>
    <col min="3593" max="3840" width="8.8984375" style="112"/>
    <col min="3841" max="3841" width="9" style="112" customWidth="1"/>
    <col min="3842" max="3842" width="7.5" style="112" customWidth="1"/>
    <col min="3843" max="3844" width="11.3984375" style="112" customWidth="1"/>
    <col min="3845" max="3845" width="7.59765625" style="112" customWidth="1"/>
    <col min="3846" max="3848" width="8" style="112" customWidth="1"/>
    <col min="3849" max="4096" width="8.8984375" style="112"/>
    <col min="4097" max="4097" width="9" style="112" customWidth="1"/>
    <col min="4098" max="4098" width="7.5" style="112" customWidth="1"/>
    <col min="4099" max="4100" width="11.3984375" style="112" customWidth="1"/>
    <col min="4101" max="4101" width="7.59765625" style="112" customWidth="1"/>
    <col min="4102" max="4104" width="8" style="112" customWidth="1"/>
    <col min="4105" max="4352" width="8.8984375" style="112"/>
    <col min="4353" max="4353" width="9" style="112" customWidth="1"/>
    <col min="4354" max="4354" width="7.5" style="112" customWidth="1"/>
    <col min="4355" max="4356" width="11.3984375" style="112" customWidth="1"/>
    <col min="4357" max="4357" width="7.59765625" style="112" customWidth="1"/>
    <col min="4358" max="4360" width="8" style="112" customWidth="1"/>
    <col min="4361" max="4608" width="8.8984375" style="112"/>
    <col min="4609" max="4609" width="9" style="112" customWidth="1"/>
    <col min="4610" max="4610" width="7.5" style="112" customWidth="1"/>
    <col min="4611" max="4612" width="11.3984375" style="112" customWidth="1"/>
    <col min="4613" max="4613" width="7.59765625" style="112" customWidth="1"/>
    <col min="4614" max="4616" width="8" style="112" customWidth="1"/>
    <col min="4617" max="4864" width="8.8984375" style="112"/>
    <col min="4865" max="4865" width="9" style="112" customWidth="1"/>
    <col min="4866" max="4866" width="7.5" style="112" customWidth="1"/>
    <col min="4867" max="4868" width="11.3984375" style="112" customWidth="1"/>
    <col min="4869" max="4869" width="7.59765625" style="112" customWidth="1"/>
    <col min="4870" max="4872" width="8" style="112" customWidth="1"/>
    <col min="4873" max="5120" width="8.8984375" style="112"/>
    <col min="5121" max="5121" width="9" style="112" customWidth="1"/>
    <col min="5122" max="5122" width="7.5" style="112" customWidth="1"/>
    <col min="5123" max="5124" width="11.3984375" style="112" customWidth="1"/>
    <col min="5125" max="5125" width="7.59765625" style="112" customWidth="1"/>
    <col min="5126" max="5128" width="8" style="112" customWidth="1"/>
    <col min="5129" max="5376" width="8.8984375" style="112"/>
    <col min="5377" max="5377" width="9" style="112" customWidth="1"/>
    <col min="5378" max="5378" width="7.5" style="112" customWidth="1"/>
    <col min="5379" max="5380" width="11.3984375" style="112" customWidth="1"/>
    <col min="5381" max="5381" width="7.59765625" style="112" customWidth="1"/>
    <col min="5382" max="5384" width="8" style="112" customWidth="1"/>
    <col min="5385" max="5632" width="8.8984375" style="112"/>
    <col min="5633" max="5633" width="9" style="112" customWidth="1"/>
    <col min="5634" max="5634" width="7.5" style="112" customWidth="1"/>
    <col min="5635" max="5636" width="11.3984375" style="112" customWidth="1"/>
    <col min="5637" max="5637" width="7.59765625" style="112" customWidth="1"/>
    <col min="5638" max="5640" width="8" style="112" customWidth="1"/>
    <col min="5641" max="5888" width="8.8984375" style="112"/>
    <col min="5889" max="5889" width="9" style="112" customWidth="1"/>
    <col min="5890" max="5890" width="7.5" style="112" customWidth="1"/>
    <col min="5891" max="5892" width="11.3984375" style="112" customWidth="1"/>
    <col min="5893" max="5893" width="7.59765625" style="112" customWidth="1"/>
    <col min="5894" max="5896" width="8" style="112" customWidth="1"/>
    <col min="5897" max="6144" width="8.8984375" style="112"/>
    <col min="6145" max="6145" width="9" style="112" customWidth="1"/>
    <col min="6146" max="6146" width="7.5" style="112" customWidth="1"/>
    <col min="6147" max="6148" width="11.3984375" style="112" customWidth="1"/>
    <col min="6149" max="6149" width="7.59765625" style="112" customWidth="1"/>
    <col min="6150" max="6152" width="8" style="112" customWidth="1"/>
    <col min="6153" max="6400" width="8.8984375" style="112"/>
    <col min="6401" max="6401" width="9" style="112" customWidth="1"/>
    <col min="6402" max="6402" width="7.5" style="112" customWidth="1"/>
    <col min="6403" max="6404" width="11.3984375" style="112" customWidth="1"/>
    <col min="6405" max="6405" width="7.59765625" style="112" customWidth="1"/>
    <col min="6406" max="6408" width="8" style="112" customWidth="1"/>
    <col min="6409" max="6656" width="8.8984375" style="112"/>
    <col min="6657" max="6657" width="9" style="112" customWidth="1"/>
    <col min="6658" max="6658" width="7.5" style="112" customWidth="1"/>
    <col min="6659" max="6660" width="11.3984375" style="112" customWidth="1"/>
    <col min="6661" max="6661" width="7.59765625" style="112" customWidth="1"/>
    <col min="6662" max="6664" width="8" style="112" customWidth="1"/>
    <col min="6665" max="6912" width="8.8984375" style="112"/>
    <col min="6913" max="6913" width="9" style="112" customWidth="1"/>
    <col min="6914" max="6914" width="7.5" style="112" customWidth="1"/>
    <col min="6915" max="6916" width="11.3984375" style="112" customWidth="1"/>
    <col min="6917" max="6917" width="7.59765625" style="112" customWidth="1"/>
    <col min="6918" max="6920" width="8" style="112" customWidth="1"/>
    <col min="6921" max="7168" width="8.8984375" style="112"/>
    <col min="7169" max="7169" width="9" style="112" customWidth="1"/>
    <col min="7170" max="7170" width="7.5" style="112" customWidth="1"/>
    <col min="7171" max="7172" width="11.3984375" style="112" customWidth="1"/>
    <col min="7173" max="7173" width="7.59765625" style="112" customWidth="1"/>
    <col min="7174" max="7176" width="8" style="112" customWidth="1"/>
    <col min="7177" max="7424" width="8.8984375" style="112"/>
    <col min="7425" max="7425" width="9" style="112" customWidth="1"/>
    <col min="7426" max="7426" width="7.5" style="112" customWidth="1"/>
    <col min="7427" max="7428" width="11.3984375" style="112" customWidth="1"/>
    <col min="7429" max="7429" width="7.59765625" style="112" customWidth="1"/>
    <col min="7430" max="7432" width="8" style="112" customWidth="1"/>
    <col min="7433" max="7680" width="8.8984375" style="112"/>
    <col min="7681" max="7681" width="9" style="112" customWidth="1"/>
    <col min="7682" max="7682" width="7.5" style="112" customWidth="1"/>
    <col min="7683" max="7684" width="11.3984375" style="112" customWidth="1"/>
    <col min="7685" max="7685" width="7.59765625" style="112" customWidth="1"/>
    <col min="7686" max="7688" width="8" style="112" customWidth="1"/>
    <col min="7689" max="7936" width="8.8984375" style="112"/>
    <col min="7937" max="7937" width="9" style="112" customWidth="1"/>
    <col min="7938" max="7938" width="7.5" style="112" customWidth="1"/>
    <col min="7939" max="7940" width="11.3984375" style="112" customWidth="1"/>
    <col min="7941" max="7941" width="7.59765625" style="112" customWidth="1"/>
    <col min="7942" max="7944" width="8" style="112" customWidth="1"/>
    <col min="7945" max="8192" width="8.8984375" style="112"/>
    <col min="8193" max="8193" width="9" style="112" customWidth="1"/>
    <col min="8194" max="8194" width="7.5" style="112" customWidth="1"/>
    <col min="8195" max="8196" width="11.3984375" style="112" customWidth="1"/>
    <col min="8197" max="8197" width="7.59765625" style="112" customWidth="1"/>
    <col min="8198" max="8200" width="8" style="112" customWidth="1"/>
    <col min="8201" max="8448" width="8.8984375" style="112"/>
    <col min="8449" max="8449" width="9" style="112" customWidth="1"/>
    <col min="8450" max="8450" width="7.5" style="112" customWidth="1"/>
    <col min="8451" max="8452" width="11.3984375" style="112" customWidth="1"/>
    <col min="8453" max="8453" width="7.59765625" style="112" customWidth="1"/>
    <col min="8454" max="8456" width="8" style="112" customWidth="1"/>
    <col min="8457" max="8704" width="8.8984375" style="112"/>
    <col min="8705" max="8705" width="9" style="112" customWidth="1"/>
    <col min="8706" max="8706" width="7.5" style="112" customWidth="1"/>
    <col min="8707" max="8708" width="11.3984375" style="112" customWidth="1"/>
    <col min="8709" max="8709" width="7.59765625" style="112" customWidth="1"/>
    <col min="8710" max="8712" width="8" style="112" customWidth="1"/>
    <col min="8713" max="8960" width="8.8984375" style="112"/>
    <col min="8961" max="8961" width="9" style="112" customWidth="1"/>
    <col min="8962" max="8962" width="7.5" style="112" customWidth="1"/>
    <col min="8963" max="8964" width="11.3984375" style="112" customWidth="1"/>
    <col min="8965" max="8965" width="7.59765625" style="112" customWidth="1"/>
    <col min="8966" max="8968" width="8" style="112" customWidth="1"/>
    <col min="8969" max="9216" width="8.8984375" style="112"/>
    <col min="9217" max="9217" width="9" style="112" customWidth="1"/>
    <col min="9218" max="9218" width="7.5" style="112" customWidth="1"/>
    <col min="9219" max="9220" width="11.3984375" style="112" customWidth="1"/>
    <col min="9221" max="9221" width="7.59765625" style="112" customWidth="1"/>
    <col min="9222" max="9224" width="8" style="112" customWidth="1"/>
    <col min="9225" max="9472" width="8.8984375" style="112"/>
    <col min="9473" max="9473" width="9" style="112" customWidth="1"/>
    <col min="9474" max="9474" width="7.5" style="112" customWidth="1"/>
    <col min="9475" max="9476" width="11.3984375" style="112" customWidth="1"/>
    <col min="9477" max="9477" width="7.59765625" style="112" customWidth="1"/>
    <col min="9478" max="9480" width="8" style="112" customWidth="1"/>
    <col min="9481" max="9728" width="8.8984375" style="112"/>
    <col min="9729" max="9729" width="9" style="112" customWidth="1"/>
    <col min="9730" max="9730" width="7.5" style="112" customWidth="1"/>
    <col min="9731" max="9732" width="11.3984375" style="112" customWidth="1"/>
    <col min="9733" max="9733" width="7.59765625" style="112" customWidth="1"/>
    <col min="9734" max="9736" width="8" style="112" customWidth="1"/>
    <col min="9737" max="9984" width="8.8984375" style="112"/>
    <col min="9985" max="9985" width="9" style="112" customWidth="1"/>
    <col min="9986" max="9986" width="7.5" style="112" customWidth="1"/>
    <col min="9987" max="9988" width="11.3984375" style="112" customWidth="1"/>
    <col min="9989" max="9989" width="7.59765625" style="112" customWidth="1"/>
    <col min="9990" max="9992" width="8" style="112" customWidth="1"/>
    <col min="9993" max="10240" width="8.8984375" style="112"/>
    <col min="10241" max="10241" width="9" style="112" customWidth="1"/>
    <col min="10242" max="10242" width="7.5" style="112" customWidth="1"/>
    <col min="10243" max="10244" width="11.3984375" style="112" customWidth="1"/>
    <col min="10245" max="10245" width="7.59765625" style="112" customWidth="1"/>
    <col min="10246" max="10248" width="8" style="112" customWidth="1"/>
    <col min="10249" max="10496" width="8.8984375" style="112"/>
    <col min="10497" max="10497" width="9" style="112" customWidth="1"/>
    <col min="10498" max="10498" width="7.5" style="112" customWidth="1"/>
    <col min="10499" max="10500" width="11.3984375" style="112" customWidth="1"/>
    <col min="10501" max="10501" width="7.59765625" style="112" customWidth="1"/>
    <col min="10502" max="10504" width="8" style="112" customWidth="1"/>
    <col min="10505" max="10752" width="8.8984375" style="112"/>
    <col min="10753" max="10753" width="9" style="112" customWidth="1"/>
    <col min="10754" max="10754" width="7.5" style="112" customWidth="1"/>
    <col min="10755" max="10756" width="11.3984375" style="112" customWidth="1"/>
    <col min="10757" max="10757" width="7.59765625" style="112" customWidth="1"/>
    <col min="10758" max="10760" width="8" style="112" customWidth="1"/>
    <col min="10761" max="11008" width="8.8984375" style="112"/>
    <col min="11009" max="11009" width="9" style="112" customWidth="1"/>
    <col min="11010" max="11010" width="7.5" style="112" customWidth="1"/>
    <col min="11011" max="11012" width="11.3984375" style="112" customWidth="1"/>
    <col min="11013" max="11013" width="7.59765625" style="112" customWidth="1"/>
    <col min="11014" max="11016" width="8" style="112" customWidth="1"/>
    <col min="11017" max="11264" width="8.8984375" style="112"/>
    <col min="11265" max="11265" width="9" style="112" customWidth="1"/>
    <col min="11266" max="11266" width="7.5" style="112" customWidth="1"/>
    <col min="11267" max="11268" width="11.3984375" style="112" customWidth="1"/>
    <col min="11269" max="11269" width="7.59765625" style="112" customWidth="1"/>
    <col min="11270" max="11272" width="8" style="112" customWidth="1"/>
    <col min="11273" max="11520" width="8.8984375" style="112"/>
    <col min="11521" max="11521" width="9" style="112" customWidth="1"/>
    <col min="11522" max="11522" width="7.5" style="112" customWidth="1"/>
    <col min="11523" max="11524" width="11.3984375" style="112" customWidth="1"/>
    <col min="11525" max="11525" width="7.59765625" style="112" customWidth="1"/>
    <col min="11526" max="11528" width="8" style="112" customWidth="1"/>
    <col min="11529" max="11776" width="8.8984375" style="112"/>
    <col min="11777" max="11777" width="9" style="112" customWidth="1"/>
    <col min="11778" max="11778" width="7.5" style="112" customWidth="1"/>
    <col min="11779" max="11780" width="11.3984375" style="112" customWidth="1"/>
    <col min="11781" max="11781" width="7.59765625" style="112" customWidth="1"/>
    <col min="11782" max="11784" width="8" style="112" customWidth="1"/>
    <col min="11785" max="12032" width="8.8984375" style="112"/>
    <col min="12033" max="12033" width="9" style="112" customWidth="1"/>
    <col min="12034" max="12034" width="7.5" style="112" customWidth="1"/>
    <col min="12035" max="12036" width="11.3984375" style="112" customWidth="1"/>
    <col min="12037" max="12037" width="7.59765625" style="112" customWidth="1"/>
    <col min="12038" max="12040" width="8" style="112" customWidth="1"/>
    <col min="12041" max="12288" width="8.8984375" style="112"/>
    <col min="12289" max="12289" width="9" style="112" customWidth="1"/>
    <col min="12290" max="12290" width="7.5" style="112" customWidth="1"/>
    <col min="12291" max="12292" width="11.3984375" style="112" customWidth="1"/>
    <col min="12293" max="12293" width="7.59765625" style="112" customWidth="1"/>
    <col min="12294" max="12296" width="8" style="112" customWidth="1"/>
    <col min="12297" max="12544" width="8.8984375" style="112"/>
    <col min="12545" max="12545" width="9" style="112" customWidth="1"/>
    <col min="12546" max="12546" width="7.5" style="112" customWidth="1"/>
    <col min="12547" max="12548" width="11.3984375" style="112" customWidth="1"/>
    <col min="12549" max="12549" width="7.59765625" style="112" customWidth="1"/>
    <col min="12550" max="12552" width="8" style="112" customWidth="1"/>
    <col min="12553" max="12800" width="8.8984375" style="112"/>
    <col min="12801" max="12801" width="9" style="112" customWidth="1"/>
    <col min="12802" max="12802" width="7.5" style="112" customWidth="1"/>
    <col min="12803" max="12804" width="11.3984375" style="112" customWidth="1"/>
    <col min="12805" max="12805" width="7.59765625" style="112" customWidth="1"/>
    <col min="12806" max="12808" width="8" style="112" customWidth="1"/>
    <col min="12809" max="13056" width="8.8984375" style="112"/>
    <col min="13057" max="13057" width="9" style="112" customWidth="1"/>
    <col min="13058" max="13058" width="7.5" style="112" customWidth="1"/>
    <col min="13059" max="13060" width="11.3984375" style="112" customWidth="1"/>
    <col min="13061" max="13061" width="7.59765625" style="112" customWidth="1"/>
    <col min="13062" max="13064" width="8" style="112" customWidth="1"/>
    <col min="13065" max="13312" width="8.8984375" style="112"/>
    <col min="13313" max="13313" width="9" style="112" customWidth="1"/>
    <col min="13314" max="13314" width="7.5" style="112" customWidth="1"/>
    <col min="13315" max="13316" width="11.3984375" style="112" customWidth="1"/>
    <col min="13317" max="13317" width="7.59765625" style="112" customWidth="1"/>
    <col min="13318" max="13320" width="8" style="112" customWidth="1"/>
    <col min="13321" max="13568" width="8.8984375" style="112"/>
    <col min="13569" max="13569" width="9" style="112" customWidth="1"/>
    <col min="13570" max="13570" width="7.5" style="112" customWidth="1"/>
    <col min="13571" max="13572" width="11.3984375" style="112" customWidth="1"/>
    <col min="13573" max="13573" width="7.59765625" style="112" customWidth="1"/>
    <col min="13574" max="13576" width="8" style="112" customWidth="1"/>
    <col min="13577" max="13824" width="8.8984375" style="112"/>
    <col min="13825" max="13825" width="9" style="112" customWidth="1"/>
    <col min="13826" max="13826" width="7.5" style="112" customWidth="1"/>
    <col min="13827" max="13828" width="11.3984375" style="112" customWidth="1"/>
    <col min="13829" max="13829" width="7.59765625" style="112" customWidth="1"/>
    <col min="13830" max="13832" width="8" style="112" customWidth="1"/>
    <col min="13833" max="14080" width="8.8984375" style="112"/>
    <col min="14081" max="14081" width="9" style="112" customWidth="1"/>
    <col min="14082" max="14082" width="7.5" style="112" customWidth="1"/>
    <col min="14083" max="14084" width="11.3984375" style="112" customWidth="1"/>
    <col min="14085" max="14085" width="7.59765625" style="112" customWidth="1"/>
    <col min="14086" max="14088" width="8" style="112" customWidth="1"/>
    <col min="14089" max="14336" width="8.8984375" style="112"/>
    <col min="14337" max="14337" width="9" style="112" customWidth="1"/>
    <col min="14338" max="14338" width="7.5" style="112" customWidth="1"/>
    <col min="14339" max="14340" width="11.3984375" style="112" customWidth="1"/>
    <col min="14341" max="14341" width="7.59765625" style="112" customWidth="1"/>
    <col min="14342" max="14344" width="8" style="112" customWidth="1"/>
    <col min="14345" max="14592" width="8.8984375" style="112"/>
    <col min="14593" max="14593" width="9" style="112" customWidth="1"/>
    <col min="14594" max="14594" width="7.5" style="112" customWidth="1"/>
    <col min="14595" max="14596" width="11.3984375" style="112" customWidth="1"/>
    <col min="14597" max="14597" width="7.59765625" style="112" customWidth="1"/>
    <col min="14598" max="14600" width="8" style="112" customWidth="1"/>
    <col min="14601" max="14848" width="8.8984375" style="112"/>
    <col min="14849" max="14849" width="9" style="112" customWidth="1"/>
    <col min="14850" max="14850" width="7.5" style="112" customWidth="1"/>
    <col min="14851" max="14852" width="11.3984375" style="112" customWidth="1"/>
    <col min="14853" max="14853" width="7.59765625" style="112" customWidth="1"/>
    <col min="14854" max="14856" width="8" style="112" customWidth="1"/>
    <col min="14857" max="15104" width="8.8984375" style="112"/>
    <col min="15105" max="15105" width="9" style="112" customWidth="1"/>
    <col min="15106" max="15106" width="7.5" style="112" customWidth="1"/>
    <col min="15107" max="15108" width="11.3984375" style="112" customWidth="1"/>
    <col min="15109" max="15109" width="7.59765625" style="112" customWidth="1"/>
    <col min="15110" max="15112" width="8" style="112" customWidth="1"/>
    <col min="15113" max="15360" width="8.8984375" style="112"/>
    <col min="15361" max="15361" width="9" style="112" customWidth="1"/>
    <col min="15362" max="15362" width="7.5" style="112" customWidth="1"/>
    <col min="15363" max="15364" width="11.3984375" style="112" customWidth="1"/>
    <col min="15365" max="15365" width="7.59765625" style="112" customWidth="1"/>
    <col min="15366" max="15368" width="8" style="112" customWidth="1"/>
    <col min="15369" max="15616" width="8.8984375" style="112"/>
    <col min="15617" max="15617" width="9" style="112" customWidth="1"/>
    <col min="15618" max="15618" width="7.5" style="112" customWidth="1"/>
    <col min="15619" max="15620" width="11.3984375" style="112" customWidth="1"/>
    <col min="15621" max="15621" width="7.59765625" style="112" customWidth="1"/>
    <col min="15622" max="15624" width="8" style="112" customWidth="1"/>
    <col min="15625" max="15872" width="8.8984375" style="112"/>
    <col min="15873" max="15873" width="9" style="112" customWidth="1"/>
    <col min="15874" max="15874" width="7.5" style="112" customWidth="1"/>
    <col min="15875" max="15876" width="11.3984375" style="112" customWidth="1"/>
    <col min="15877" max="15877" width="7.59765625" style="112" customWidth="1"/>
    <col min="15878" max="15880" width="8" style="112" customWidth="1"/>
    <col min="15881" max="16128" width="8.8984375" style="112"/>
    <col min="16129" max="16129" width="9" style="112" customWidth="1"/>
    <col min="16130" max="16130" width="7.5" style="112" customWidth="1"/>
    <col min="16131" max="16132" width="11.3984375" style="112" customWidth="1"/>
    <col min="16133" max="16133" width="7.59765625" style="112" customWidth="1"/>
    <col min="16134" max="16136" width="8" style="112" customWidth="1"/>
    <col min="16137" max="16384" width="8.8984375" style="112"/>
  </cols>
  <sheetData>
    <row r="1" spans="1:14" x14ac:dyDescent="0.4">
      <c r="A1" s="110" t="s">
        <v>590</v>
      </c>
      <c r="B1" s="111" t="s">
        <v>591</v>
      </c>
      <c r="C1" s="111" t="s">
        <v>592</v>
      </c>
      <c r="D1" s="111" t="s">
        <v>593</v>
      </c>
      <c r="E1" s="111" t="s">
        <v>457</v>
      </c>
      <c r="F1" s="112" t="s">
        <v>594</v>
      </c>
      <c r="G1" s="112" t="s">
        <v>595</v>
      </c>
      <c r="K1" s="113" t="s">
        <v>596</v>
      </c>
      <c r="L1" s="114" t="s">
        <v>592</v>
      </c>
      <c r="M1" s="115" t="s">
        <v>593</v>
      </c>
      <c r="N1" s="116" t="s">
        <v>457</v>
      </c>
    </row>
    <row r="2" spans="1:14" x14ac:dyDescent="0.4">
      <c r="B2" s="117">
        <v>1</v>
      </c>
      <c r="C2" s="117" t="s">
        <v>442</v>
      </c>
      <c r="D2" s="117" t="s">
        <v>0</v>
      </c>
      <c r="E2" s="117">
        <v>11</v>
      </c>
      <c r="F2" s="112" t="str">
        <f>VLOOKUP(C2,L:N,2,0)</f>
        <v>봉</v>
      </c>
      <c r="K2" s="118">
        <v>1</v>
      </c>
      <c r="L2" s="119" t="s">
        <v>340</v>
      </c>
      <c r="M2" s="120" t="s">
        <v>534</v>
      </c>
      <c r="N2" s="121">
        <v>11</v>
      </c>
    </row>
    <row r="3" spans="1:14" x14ac:dyDescent="0.4">
      <c r="B3" s="117">
        <v>2</v>
      </c>
      <c r="C3" s="117" t="s">
        <v>448</v>
      </c>
      <c r="D3" s="117" t="s">
        <v>0</v>
      </c>
      <c r="E3" s="117">
        <v>12</v>
      </c>
      <c r="F3" s="112" t="str">
        <f t="shared" ref="F3:F66" si="0">VLOOKUP(C3,L:N,2,0)</f>
        <v>봉</v>
      </c>
      <c r="K3" s="118">
        <v>2</v>
      </c>
      <c r="L3" s="119" t="s">
        <v>285</v>
      </c>
      <c r="M3" s="122" t="s">
        <v>535</v>
      </c>
      <c r="N3" s="121">
        <v>11</v>
      </c>
    </row>
    <row r="4" spans="1:14" x14ac:dyDescent="0.4">
      <c r="B4" s="117">
        <v>3</v>
      </c>
      <c r="C4" s="117" t="s">
        <v>224</v>
      </c>
      <c r="D4" s="117" t="s">
        <v>0</v>
      </c>
      <c r="E4" s="117">
        <v>41</v>
      </c>
      <c r="F4" s="112" t="str">
        <f t="shared" si="0"/>
        <v>봉</v>
      </c>
      <c r="K4" s="118">
        <v>3</v>
      </c>
      <c r="L4" s="119" t="s">
        <v>597</v>
      </c>
      <c r="M4" s="122" t="s">
        <v>458</v>
      </c>
      <c r="N4" s="121">
        <v>11</v>
      </c>
    </row>
    <row r="5" spans="1:14" x14ac:dyDescent="0.4">
      <c r="B5" s="117">
        <v>4</v>
      </c>
      <c r="C5" s="117" t="s">
        <v>248</v>
      </c>
      <c r="D5" s="117" t="s">
        <v>0</v>
      </c>
      <c r="E5" s="117">
        <v>22</v>
      </c>
      <c r="F5" s="112" t="str">
        <f t="shared" si="0"/>
        <v>봉</v>
      </c>
      <c r="K5" s="118">
        <v>4</v>
      </c>
      <c r="L5" s="119" t="s">
        <v>336</v>
      </c>
      <c r="M5" s="122" t="s">
        <v>534</v>
      </c>
      <c r="N5" s="121">
        <v>11</v>
      </c>
    </row>
    <row r="6" spans="1:14" x14ac:dyDescent="0.4">
      <c r="B6" s="117">
        <v>5</v>
      </c>
      <c r="C6" s="117" t="s">
        <v>231</v>
      </c>
      <c r="D6" s="117" t="s">
        <v>0</v>
      </c>
      <c r="E6" s="117">
        <v>41</v>
      </c>
      <c r="F6" s="112" t="str">
        <f t="shared" si="0"/>
        <v>봉</v>
      </c>
      <c r="K6" s="118">
        <v>5</v>
      </c>
      <c r="L6" s="123" t="s">
        <v>317</v>
      </c>
      <c r="M6" s="120" t="s">
        <v>535</v>
      </c>
      <c r="N6" s="121">
        <v>11</v>
      </c>
    </row>
    <row r="7" spans="1:14" x14ac:dyDescent="0.4">
      <c r="B7" s="117">
        <v>6</v>
      </c>
      <c r="C7" s="117" t="s">
        <v>173</v>
      </c>
      <c r="D7" s="117" t="s">
        <v>0</v>
      </c>
      <c r="E7" s="117">
        <v>41</v>
      </c>
      <c r="F7" s="112" t="str">
        <f t="shared" si="0"/>
        <v>봉</v>
      </c>
      <c r="K7" s="118">
        <v>6</v>
      </c>
      <c r="L7" s="119" t="s">
        <v>442</v>
      </c>
      <c r="M7" s="122" t="s">
        <v>534</v>
      </c>
      <c r="N7" s="121">
        <v>11</v>
      </c>
    </row>
    <row r="8" spans="1:14" x14ac:dyDescent="0.4">
      <c r="B8" s="117">
        <v>7</v>
      </c>
      <c r="C8" s="117" t="s">
        <v>564</v>
      </c>
      <c r="D8" s="117" t="s">
        <v>0</v>
      </c>
      <c r="E8" s="117">
        <v>43</v>
      </c>
      <c r="F8" s="112" t="str">
        <f t="shared" si="0"/>
        <v>봉</v>
      </c>
      <c r="K8" s="118">
        <v>7</v>
      </c>
      <c r="L8" s="119" t="s">
        <v>443</v>
      </c>
      <c r="M8" s="122" t="s">
        <v>535</v>
      </c>
      <c r="N8" s="121">
        <v>11</v>
      </c>
    </row>
    <row r="9" spans="1:14" x14ac:dyDescent="0.4">
      <c r="B9" s="117">
        <v>8</v>
      </c>
      <c r="C9" s="117" t="s">
        <v>563</v>
      </c>
      <c r="D9" s="117" t="s">
        <v>0</v>
      </c>
      <c r="E9" s="117">
        <v>43</v>
      </c>
      <c r="F9" s="112" t="str">
        <f t="shared" si="0"/>
        <v>봉</v>
      </c>
      <c r="K9" s="118">
        <v>8</v>
      </c>
      <c r="L9" s="123" t="s">
        <v>359</v>
      </c>
      <c r="M9" s="122" t="s">
        <v>534</v>
      </c>
      <c r="N9" s="121">
        <v>11</v>
      </c>
    </row>
    <row r="10" spans="1:14" x14ac:dyDescent="0.4">
      <c r="B10" s="117">
        <v>9</v>
      </c>
      <c r="C10" s="117" t="s">
        <v>176</v>
      </c>
      <c r="D10" s="117" t="s">
        <v>0</v>
      </c>
      <c r="E10" s="117">
        <v>43</v>
      </c>
      <c r="F10" s="112" t="str">
        <f t="shared" si="0"/>
        <v>봉</v>
      </c>
      <c r="K10" s="118">
        <v>9</v>
      </c>
      <c r="L10" s="119" t="s">
        <v>307</v>
      </c>
      <c r="M10" s="122" t="s">
        <v>535</v>
      </c>
      <c r="N10" s="121">
        <v>11</v>
      </c>
    </row>
    <row r="11" spans="1:14" x14ac:dyDescent="0.4">
      <c r="B11" s="117">
        <v>10</v>
      </c>
      <c r="C11" s="124" t="s">
        <v>188</v>
      </c>
      <c r="D11" s="117" t="s">
        <v>0</v>
      </c>
      <c r="E11" s="117">
        <v>11</v>
      </c>
      <c r="F11" s="112" t="str">
        <f t="shared" si="0"/>
        <v>봉</v>
      </c>
      <c r="K11" s="118">
        <v>10</v>
      </c>
      <c r="L11" s="119" t="s">
        <v>464</v>
      </c>
      <c r="M11" s="122" t="s">
        <v>458</v>
      </c>
      <c r="N11" s="121">
        <v>11</v>
      </c>
    </row>
    <row r="12" spans="1:14" x14ac:dyDescent="0.4">
      <c r="B12" s="117">
        <v>11</v>
      </c>
      <c r="C12" s="117" t="s">
        <v>362</v>
      </c>
      <c r="D12" s="117" t="s">
        <v>0</v>
      </c>
      <c r="E12" s="117">
        <v>32</v>
      </c>
      <c r="F12" s="112" t="str">
        <f t="shared" si="0"/>
        <v>봉</v>
      </c>
      <c r="K12" s="118">
        <v>11</v>
      </c>
      <c r="L12" s="123" t="s">
        <v>149</v>
      </c>
      <c r="M12" s="120" t="s">
        <v>534</v>
      </c>
      <c r="N12" s="121">
        <v>11</v>
      </c>
    </row>
    <row r="13" spans="1:14" x14ac:dyDescent="0.4">
      <c r="B13" s="117">
        <v>12</v>
      </c>
      <c r="C13" s="117" t="s">
        <v>341</v>
      </c>
      <c r="D13" s="117" t="s">
        <v>0</v>
      </c>
      <c r="E13" s="117">
        <v>21</v>
      </c>
      <c r="F13" s="112" t="str">
        <f t="shared" si="0"/>
        <v>봉</v>
      </c>
      <c r="K13" s="118">
        <v>12</v>
      </c>
      <c r="L13" s="119" t="s">
        <v>257</v>
      </c>
      <c r="M13" s="122" t="s">
        <v>535</v>
      </c>
      <c r="N13" s="121">
        <v>11</v>
      </c>
    </row>
    <row r="14" spans="1:14" x14ac:dyDescent="0.4">
      <c r="B14" s="117">
        <v>13</v>
      </c>
      <c r="C14" s="117" t="s">
        <v>246</v>
      </c>
      <c r="D14" s="117" t="s">
        <v>0</v>
      </c>
      <c r="E14" s="117">
        <v>31</v>
      </c>
      <c r="F14" s="112" t="str">
        <f t="shared" si="0"/>
        <v>봉</v>
      </c>
      <c r="K14" s="118">
        <v>13</v>
      </c>
      <c r="L14" s="119" t="s">
        <v>188</v>
      </c>
      <c r="M14" s="122" t="s">
        <v>534</v>
      </c>
      <c r="N14" s="121">
        <v>11</v>
      </c>
    </row>
    <row r="15" spans="1:14" x14ac:dyDescent="0.4">
      <c r="B15" s="117">
        <v>14</v>
      </c>
      <c r="C15" s="117" t="s">
        <v>351</v>
      </c>
      <c r="D15" s="117" t="s">
        <v>0</v>
      </c>
      <c r="E15" s="117">
        <v>21</v>
      </c>
      <c r="F15" s="112" t="str">
        <f t="shared" si="0"/>
        <v>봉</v>
      </c>
      <c r="K15" s="118">
        <v>14</v>
      </c>
      <c r="L15" s="119" t="s">
        <v>189</v>
      </c>
      <c r="M15" s="122" t="s">
        <v>535</v>
      </c>
      <c r="N15" s="121">
        <v>11</v>
      </c>
    </row>
    <row r="16" spans="1:14" x14ac:dyDescent="0.4">
      <c r="B16" s="117">
        <v>15</v>
      </c>
      <c r="C16" s="124" t="s">
        <v>337</v>
      </c>
      <c r="D16" s="117" t="s">
        <v>0</v>
      </c>
      <c r="E16" s="117">
        <v>43</v>
      </c>
      <c r="F16" s="112" t="str">
        <f t="shared" si="0"/>
        <v>봉</v>
      </c>
      <c r="K16" s="118">
        <v>15</v>
      </c>
      <c r="L16" s="119" t="s">
        <v>270</v>
      </c>
      <c r="M16" s="122" t="s">
        <v>536</v>
      </c>
      <c r="N16" s="121">
        <v>11</v>
      </c>
    </row>
    <row r="17" spans="2:14" x14ac:dyDescent="0.4">
      <c r="B17" s="117">
        <v>16</v>
      </c>
      <c r="C17" s="117" t="s">
        <v>363</v>
      </c>
      <c r="D17" s="117" t="s">
        <v>0</v>
      </c>
      <c r="E17" s="117">
        <v>31</v>
      </c>
      <c r="F17" s="112" t="str">
        <f t="shared" si="0"/>
        <v>봉</v>
      </c>
      <c r="K17" s="118">
        <v>16</v>
      </c>
      <c r="L17" s="119" t="s">
        <v>271</v>
      </c>
      <c r="M17" s="120" t="s">
        <v>536</v>
      </c>
      <c r="N17" s="121">
        <v>11</v>
      </c>
    </row>
    <row r="18" spans="2:14" x14ac:dyDescent="0.4">
      <c r="B18" s="117">
        <v>17</v>
      </c>
      <c r="C18" s="117" t="s">
        <v>333</v>
      </c>
      <c r="D18" s="117" t="s">
        <v>0</v>
      </c>
      <c r="E18" s="117">
        <v>12</v>
      </c>
      <c r="F18" s="112" t="str">
        <f t="shared" si="0"/>
        <v>봉</v>
      </c>
      <c r="K18" s="118">
        <v>17</v>
      </c>
      <c r="L18" s="123" t="s">
        <v>334</v>
      </c>
      <c r="M18" s="122" t="s">
        <v>534</v>
      </c>
      <c r="N18" s="121">
        <v>11</v>
      </c>
    </row>
    <row r="19" spans="2:14" x14ac:dyDescent="0.4">
      <c r="B19" s="117">
        <v>18</v>
      </c>
      <c r="C19" s="124" t="s">
        <v>346</v>
      </c>
      <c r="D19" s="117" t="s">
        <v>0</v>
      </c>
      <c r="E19" s="117">
        <v>22</v>
      </c>
      <c r="F19" s="112" t="str">
        <f t="shared" si="0"/>
        <v>봉</v>
      </c>
      <c r="K19" s="118">
        <v>18</v>
      </c>
      <c r="L19" s="119" t="s">
        <v>279</v>
      </c>
      <c r="M19" s="120" t="s">
        <v>535</v>
      </c>
      <c r="N19" s="121">
        <v>11</v>
      </c>
    </row>
    <row r="20" spans="2:14" x14ac:dyDescent="0.4">
      <c r="B20" s="117">
        <v>19</v>
      </c>
      <c r="C20" s="117" t="s">
        <v>249</v>
      </c>
      <c r="D20" s="117" t="s">
        <v>0</v>
      </c>
      <c r="E20" s="117">
        <v>43</v>
      </c>
      <c r="F20" s="112" t="str">
        <f t="shared" si="0"/>
        <v>봉</v>
      </c>
      <c r="K20" s="118">
        <v>19</v>
      </c>
      <c r="L20" s="119" t="s">
        <v>598</v>
      </c>
      <c r="M20" s="122" t="s">
        <v>458</v>
      </c>
      <c r="N20" s="121">
        <v>11</v>
      </c>
    </row>
    <row r="21" spans="2:14" x14ac:dyDescent="0.4">
      <c r="B21" s="117">
        <v>20</v>
      </c>
      <c r="C21" s="117" t="s">
        <v>338</v>
      </c>
      <c r="D21" s="117" t="s">
        <v>0</v>
      </c>
      <c r="E21" s="117">
        <v>42</v>
      </c>
      <c r="F21" s="112" t="str">
        <f t="shared" si="0"/>
        <v>봉</v>
      </c>
      <c r="K21" s="118">
        <v>20</v>
      </c>
      <c r="L21" s="119" t="s">
        <v>599</v>
      </c>
      <c r="M21" s="122" t="s">
        <v>458</v>
      </c>
      <c r="N21" s="121">
        <v>11</v>
      </c>
    </row>
    <row r="22" spans="2:14" x14ac:dyDescent="0.4">
      <c r="B22" s="117">
        <v>21</v>
      </c>
      <c r="C22" s="124" t="s">
        <v>145</v>
      </c>
      <c r="D22" s="117" t="s">
        <v>0</v>
      </c>
      <c r="E22" s="117">
        <v>41</v>
      </c>
      <c r="F22" s="112" t="str">
        <f t="shared" si="0"/>
        <v>봉</v>
      </c>
      <c r="K22" s="118">
        <v>21</v>
      </c>
      <c r="L22" s="123" t="s">
        <v>216</v>
      </c>
      <c r="M22" s="122" t="s">
        <v>536</v>
      </c>
      <c r="N22" s="121">
        <v>11</v>
      </c>
    </row>
    <row r="23" spans="2:14" x14ac:dyDescent="0.4">
      <c r="B23" s="117">
        <v>22</v>
      </c>
      <c r="C23" s="117" t="s">
        <v>521</v>
      </c>
      <c r="D23" s="117" t="s">
        <v>0</v>
      </c>
      <c r="E23" s="117">
        <v>31</v>
      </c>
      <c r="F23" s="112" t="str">
        <f t="shared" si="0"/>
        <v>봉</v>
      </c>
      <c r="K23" s="118">
        <v>22</v>
      </c>
      <c r="L23" s="123" t="s">
        <v>146</v>
      </c>
      <c r="M23" s="122" t="s">
        <v>535</v>
      </c>
      <c r="N23" s="121">
        <v>11</v>
      </c>
    </row>
    <row r="24" spans="2:14" x14ac:dyDescent="0.4">
      <c r="B24" s="117">
        <v>23</v>
      </c>
      <c r="C24" s="117" t="s">
        <v>255</v>
      </c>
      <c r="D24" s="117" t="s">
        <v>0</v>
      </c>
      <c r="E24" s="117">
        <v>11</v>
      </c>
      <c r="F24" s="112" t="str">
        <f t="shared" si="0"/>
        <v>봉</v>
      </c>
      <c r="K24" s="118">
        <v>23</v>
      </c>
      <c r="L24" s="119" t="s">
        <v>255</v>
      </c>
      <c r="M24" s="122" t="s">
        <v>534</v>
      </c>
      <c r="N24" s="121">
        <v>11</v>
      </c>
    </row>
    <row r="25" spans="2:14" x14ac:dyDescent="0.4">
      <c r="B25" s="117">
        <v>24</v>
      </c>
      <c r="C25" s="117" t="s">
        <v>364</v>
      </c>
      <c r="D25" s="117" t="s">
        <v>0</v>
      </c>
      <c r="E25" s="117">
        <v>12</v>
      </c>
      <c r="F25" s="112" t="str">
        <f t="shared" si="0"/>
        <v>봉</v>
      </c>
      <c r="K25" s="118">
        <v>24</v>
      </c>
      <c r="L25" s="119" t="s">
        <v>578</v>
      </c>
      <c r="M25" s="122" t="s">
        <v>534</v>
      </c>
      <c r="N25" s="121">
        <v>11</v>
      </c>
    </row>
    <row r="26" spans="2:14" x14ac:dyDescent="0.4">
      <c r="B26" s="117">
        <v>25</v>
      </c>
      <c r="C26" s="117" t="s">
        <v>336</v>
      </c>
      <c r="D26" s="117" t="s">
        <v>0</v>
      </c>
      <c r="E26" s="117">
        <v>11</v>
      </c>
      <c r="F26" s="112" t="str">
        <f t="shared" si="0"/>
        <v>봉</v>
      </c>
      <c r="K26" s="118">
        <v>25</v>
      </c>
      <c r="L26" s="119" t="s">
        <v>600</v>
      </c>
      <c r="M26" s="120" t="s">
        <v>534</v>
      </c>
      <c r="N26" s="121">
        <v>11</v>
      </c>
    </row>
    <row r="27" spans="2:14" x14ac:dyDescent="0.4">
      <c r="B27" s="117">
        <v>26</v>
      </c>
      <c r="C27" s="117" t="s">
        <v>218</v>
      </c>
      <c r="D27" s="117" t="s">
        <v>0</v>
      </c>
      <c r="E27" s="117">
        <v>42</v>
      </c>
      <c r="F27" s="112" t="str">
        <f t="shared" si="0"/>
        <v>봉</v>
      </c>
      <c r="K27" s="118">
        <v>26</v>
      </c>
      <c r="L27" s="123" t="s">
        <v>298</v>
      </c>
      <c r="M27" s="122" t="s">
        <v>535</v>
      </c>
      <c r="N27" s="121">
        <v>11</v>
      </c>
    </row>
    <row r="28" spans="2:14" x14ac:dyDescent="0.4">
      <c r="B28" s="117">
        <v>27</v>
      </c>
      <c r="C28" s="124" t="s">
        <v>354</v>
      </c>
      <c r="D28" s="117" t="s">
        <v>0</v>
      </c>
      <c r="E28" s="117">
        <v>43</v>
      </c>
      <c r="F28" s="112" t="str">
        <f t="shared" si="0"/>
        <v>봉</v>
      </c>
      <c r="K28" s="118">
        <v>27</v>
      </c>
      <c r="L28" s="119" t="s">
        <v>180</v>
      </c>
      <c r="M28" s="122" t="s">
        <v>535</v>
      </c>
      <c r="N28" s="121">
        <v>11</v>
      </c>
    </row>
    <row r="29" spans="2:14" x14ac:dyDescent="0.4">
      <c r="B29" s="117">
        <v>28</v>
      </c>
      <c r="C29" s="117" t="s">
        <v>241</v>
      </c>
      <c r="D29" s="117" t="s">
        <v>0</v>
      </c>
      <c r="E29" s="117">
        <v>21</v>
      </c>
      <c r="F29" s="112" t="str">
        <f t="shared" si="0"/>
        <v>봉</v>
      </c>
      <c r="K29" s="118">
        <v>28</v>
      </c>
      <c r="L29" s="119" t="s">
        <v>513</v>
      </c>
      <c r="M29" s="122" t="s">
        <v>535</v>
      </c>
      <c r="N29" s="121">
        <v>11</v>
      </c>
    </row>
    <row r="30" spans="2:14" x14ac:dyDescent="0.4">
      <c r="B30" s="117">
        <v>29</v>
      </c>
      <c r="C30" s="117" t="s">
        <v>187</v>
      </c>
      <c r="D30" s="117" t="s">
        <v>0</v>
      </c>
      <c r="E30" s="117">
        <v>21</v>
      </c>
      <c r="F30" s="112" t="str">
        <f t="shared" si="0"/>
        <v>봉</v>
      </c>
      <c r="K30" s="118">
        <v>29</v>
      </c>
      <c r="L30" s="125" t="s">
        <v>316</v>
      </c>
      <c r="M30" s="126" t="s">
        <v>535</v>
      </c>
      <c r="N30" s="121">
        <v>11</v>
      </c>
    </row>
    <row r="31" spans="2:14" x14ac:dyDescent="0.4">
      <c r="B31" s="117">
        <v>30</v>
      </c>
      <c r="C31" s="117" t="s">
        <v>334</v>
      </c>
      <c r="D31" s="117" t="s">
        <v>0</v>
      </c>
      <c r="E31" s="117">
        <v>11</v>
      </c>
      <c r="F31" s="112" t="str">
        <f t="shared" si="0"/>
        <v>봉</v>
      </c>
      <c r="K31" s="118">
        <v>30</v>
      </c>
      <c r="L31" s="125" t="s">
        <v>466</v>
      </c>
      <c r="M31" s="126" t="s">
        <v>535</v>
      </c>
      <c r="N31" s="121">
        <v>11</v>
      </c>
    </row>
    <row r="32" spans="2:14" x14ac:dyDescent="0.4">
      <c r="B32" s="117">
        <v>31</v>
      </c>
      <c r="C32" s="117" t="s">
        <v>232</v>
      </c>
      <c r="D32" s="117" t="s">
        <v>0</v>
      </c>
      <c r="E32" s="117">
        <v>41</v>
      </c>
      <c r="F32" s="112" t="str">
        <f t="shared" si="0"/>
        <v>봉</v>
      </c>
      <c r="K32" s="118">
        <v>31</v>
      </c>
      <c r="L32" s="125" t="s">
        <v>247</v>
      </c>
      <c r="M32" s="126" t="s">
        <v>536</v>
      </c>
      <c r="N32" s="121">
        <v>11</v>
      </c>
    </row>
    <row r="33" spans="1:14" x14ac:dyDescent="0.4">
      <c r="B33" s="117">
        <v>32</v>
      </c>
      <c r="C33" s="117" t="s">
        <v>342</v>
      </c>
      <c r="D33" s="117" t="s">
        <v>0</v>
      </c>
      <c r="E33" s="117">
        <v>31</v>
      </c>
      <c r="F33" s="112" t="str">
        <f t="shared" si="0"/>
        <v>봉</v>
      </c>
      <c r="K33" s="118">
        <v>32</v>
      </c>
      <c r="L33" s="125" t="s">
        <v>318</v>
      </c>
      <c r="M33" s="126" t="s">
        <v>536</v>
      </c>
      <c r="N33" s="121">
        <v>11</v>
      </c>
    </row>
    <row r="34" spans="1:14" x14ac:dyDescent="0.4">
      <c r="B34" s="117">
        <v>33</v>
      </c>
      <c r="C34" s="124" t="s">
        <v>365</v>
      </c>
      <c r="D34" s="117" t="s">
        <v>0</v>
      </c>
      <c r="E34" s="117">
        <v>22</v>
      </c>
      <c r="F34" s="112" t="str">
        <f t="shared" si="0"/>
        <v>봉</v>
      </c>
      <c r="K34" s="118">
        <v>33</v>
      </c>
      <c r="L34" s="125" t="s">
        <v>185</v>
      </c>
      <c r="M34" s="126" t="s">
        <v>458</v>
      </c>
      <c r="N34" s="121">
        <v>11</v>
      </c>
    </row>
    <row r="35" spans="1:14" x14ac:dyDescent="0.4">
      <c r="B35" s="117">
        <v>34</v>
      </c>
      <c r="C35" s="117" t="s">
        <v>165</v>
      </c>
      <c r="D35" s="117" t="s">
        <v>0</v>
      </c>
      <c r="E35" s="117">
        <v>33</v>
      </c>
      <c r="F35" s="112" t="str">
        <f t="shared" si="0"/>
        <v>봉</v>
      </c>
      <c r="K35" s="118">
        <v>34</v>
      </c>
      <c r="L35" s="125" t="s">
        <v>276</v>
      </c>
      <c r="M35" s="126" t="s">
        <v>458</v>
      </c>
      <c r="N35" s="121">
        <v>11</v>
      </c>
    </row>
    <row r="36" spans="1:14" x14ac:dyDescent="0.4">
      <c r="B36" s="117">
        <v>35</v>
      </c>
      <c r="C36" s="117" t="s">
        <v>347</v>
      </c>
      <c r="D36" s="117" t="s">
        <v>0</v>
      </c>
      <c r="E36" s="117">
        <v>42</v>
      </c>
      <c r="F36" s="112" t="str">
        <f t="shared" si="0"/>
        <v>봉</v>
      </c>
      <c r="K36" s="118">
        <v>35</v>
      </c>
      <c r="L36" s="125" t="s">
        <v>545</v>
      </c>
      <c r="M36" s="126" t="s">
        <v>458</v>
      </c>
      <c r="N36" s="121">
        <v>11</v>
      </c>
    </row>
    <row r="37" spans="1:14" x14ac:dyDescent="0.4">
      <c r="B37" s="117">
        <v>36</v>
      </c>
      <c r="C37" s="124" t="s">
        <v>355</v>
      </c>
      <c r="D37" s="117" t="s">
        <v>0</v>
      </c>
      <c r="E37" s="117">
        <v>22</v>
      </c>
      <c r="F37" s="112" t="str">
        <f t="shared" si="0"/>
        <v>봉</v>
      </c>
      <c r="K37" s="118">
        <v>36</v>
      </c>
      <c r="L37" s="125" t="s">
        <v>274</v>
      </c>
      <c r="M37" s="126" t="s">
        <v>458</v>
      </c>
      <c r="N37" s="121">
        <v>11</v>
      </c>
    </row>
    <row r="38" spans="1:14" x14ac:dyDescent="0.4">
      <c r="B38" s="117">
        <v>37</v>
      </c>
      <c r="C38" s="124" t="s">
        <v>366</v>
      </c>
      <c r="D38" s="117" t="s">
        <v>0</v>
      </c>
      <c r="E38" s="117">
        <v>22</v>
      </c>
      <c r="F38" s="112" t="str">
        <f t="shared" si="0"/>
        <v>봉</v>
      </c>
      <c r="K38" s="118">
        <v>37</v>
      </c>
      <c r="L38" s="125" t="s">
        <v>537</v>
      </c>
      <c r="M38" s="126" t="s">
        <v>458</v>
      </c>
      <c r="N38" s="121">
        <v>11</v>
      </c>
    </row>
    <row r="39" spans="1:14" x14ac:dyDescent="0.4">
      <c r="B39" s="117">
        <v>38</v>
      </c>
      <c r="C39" s="127" t="s">
        <v>143</v>
      </c>
      <c r="D39" s="117" t="s">
        <v>0</v>
      </c>
      <c r="E39" s="117">
        <v>32</v>
      </c>
      <c r="F39" s="112" t="str">
        <f t="shared" si="0"/>
        <v>봉</v>
      </c>
      <c r="K39" s="118">
        <v>38</v>
      </c>
      <c r="L39" s="119" t="s">
        <v>242</v>
      </c>
      <c r="M39" s="120" t="s">
        <v>458</v>
      </c>
      <c r="N39" s="121">
        <v>11</v>
      </c>
    </row>
    <row r="40" spans="1:14" x14ac:dyDescent="0.4">
      <c r="B40" s="117">
        <v>39</v>
      </c>
      <c r="C40" s="117" t="s">
        <v>358</v>
      </c>
      <c r="D40" s="117" t="s">
        <v>0</v>
      </c>
      <c r="E40" s="117">
        <v>12</v>
      </c>
      <c r="F40" s="112" t="str">
        <f t="shared" si="0"/>
        <v>봉</v>
      </c>
      <c r="K40" s="118">
        <v>39</v>
      </c>
      <c r="L40" s="119" t="s">
        <v>193</v>
      </c>
      <c r="M40" s="122" t="s">
        <v>458</v>
      </c>
      <c r="N40" s="121">
        <v>11</v>
      </c>
    </row>
    <row r="41" spans="1:14" x14ac:dyDescent="0.4">
      <c r="B41" s="117">
        <v>40</v>
      </c>
      <c r="C41" s="117" t="s">
        <v>357</v>
      </c>
      <c r="D41" s="117" t="s">
        <v>0</v>
      </c>
      <c r="E41" s="117">
        <v>32</v>
      </c>
      <c r="F41" s="112" t="str">
        <f t="shared" si="0"/>
        <v>봉</v>
      </c>
      <c r="K41" s="118">
        <v>40</v>
      </c>
      <c r="L41" s="119" t="s">
        <v>228</v>
      </c>
      <c r="M41" s="122" t="s">
        <v>458</v>
      </c>
      <c r="N41" s="121">
        <v>11</v>
      </c>
    </row>
    <row r="42" spans="1:14" x14ac:dyDescent="0.4">
      <c r="B42" s="117">
        <v>41</v>
      </c>
      <c r="C42" s="124" t="s">
        <v>335</v>
      </c>
      <c r="D42" s="117" t="s">
        <v>0</v>
      </c>
      <c r="E42" s="117">
        <v>21</v>
      </c>
      <c r="F42" s="112" t="str">
        <f t="shared" si="0"/>
        <v>봉</v>
      </c>
      <c r="K42" s="118">
        <v>41</v>
      </c>
      <c r="L42" s="119" t="s">
        <v>577</v>
      </c>
      <c r="M42" s="122" t="s">
        <v>458</v>
      </c>
      <c r="N42" s="121">
        <v>11</v>
      </c>
    </row>
    <row r="43" spans="1:14" x14ac:dyDescent="0.4">
      <c r="B43" s="117">
        <v>42</v>
      </c>
      <c r="C43" s="117" t="s">
        <v>450</v>
      </c>
      <c r="D43" s="117" t="s">
        <v>0</v>
      </c>
      <c r="E43" s="117">
        <v>33</v>
      </c>
      <c r="F43" s="112" t="str">
        <f t="shared" si="0"/>
        <v>봉</v>
      </c>
      <c r="K43" s="118">
        <v>42</v>
      </c>
      <c r="L43" s="123" t="s">
        <v>344</v>
      </c>
      <c r="M43" s="120" t="s">
        <v>534</v>
      </c>
      <c r="N43" s="121">
        <v>12</v>
      </c>
    </row>
    <row r="44" spans="1:14" x14ac:dyDescent="0.4">
      <c r="B44" s="117">
        <v>43</v>
      </c>
      <c r="C44" s="117" t="s">
        <v>260</v>
      </c>
      <c r="D44" s="117" t="s">
        <v>0</v>
      </c>
      <c r="E44" s="117">
        <v>22</v>
      </c>
      <c r="F44" s="112" t="str">
        <f t="shared" si="0"/>
        <v>봉</v>
      </c>
      <c r="K44" s="118">
        <v>43</v>
      </c>
      <c r="L44" s="119" t="s">
        <v>288</v>
      </c>
      <c r="M44" s="122" t="s">
        <v>535</v>
      </c>
      <c r="N44" s="121">
        <v>12</v>
      </c>
    </row>
    <row r="45" spans="1:14" x14ac:dyDescent="0.4">
      <c r="A45" s="110" t="s">
        <v>601</v>
      </c>
      <c r="B45" s="117">
        <v>44</v>
      </c>
      <c r="C45" s="117" t="s">
        <v>602</v>
      </c>
      <c r="D45" s="117" t="s">
        <v>0</v>
      </c>
      <c r="E45" s="117">
        <v>21</v>
      </c>
      <c r="F45" s="112" t="str">
        <f t="shared" si="0"/>
        <v>봉</v>
      </c>
      <c r="K45" s="118">
        <v>44</v>
      </c>
      <c r="L45" s="119" t="s">
        <v>349</v>
      </c>
      <c r="M45" s="122" t="s">
        <v>534</v>
      </c>
      <c r="N45" s="121">
        <v>12</v>
      </c>
    </row>
    <row r="46" spans="1:14" x14ac:dyDescent="0.4">
      <c r="B46" s="117">
        <v>45</v>
      </c>
      <c r="C46" s="124" t="s">
        <v>343</v>
      </c>
      <c r="D46" s="117" t="s">
        <v>0</v>
      </c>
      <c r="E46" s="117">
        <v>21</v>
      </c>
      <c r="F46" s="112" t="str">
        <f t="shared" si="0"/>
        <v>봉</v>
      </c>
      <c r="K46" s="118">
        <v>45</v>
      </c>
      <c r="L46" s="123" t="s">
        <v>293</v>
      </c>
      <c r="M46" s="122" t="s">
        <v>535</v>
      </c>
      <c r="N46" s="121">
        <v>12</v>
      </c>
    </row>
    <row r="47" spans="1:14" x14ac:dyDescent="0.4">
      <c r="B47" s="117">
        <v>46</v>
      </c>
      <c r="C47" s="117" t="s">
        <v>352</v>
      </c>
      <c r="D47" s="117" t="s">
        <v>0</v>
      </c>
      <c r="E47" s="117">
        <v>22</v>
      </c>
      <c r="F47" s="112" t="str">
        <f t="shared" si="0"/>
        <v>봉</v>
      </c>
      <c r="K47" s="118">
        <v>46</v>
      </c>
      <c r="L47" s="119" t="s">
        <v>448</v>
      </c>
      <c r="M47" s="122" t="s">
        <v>534</v>
      </c>
      <c r="N47" s="121">
        <v>12</v>
      </c>
    </row>
    <row r="48" spans="1:14" x14ac:dyDescent="0.4">
      <c r="B48" s="117">
        <v>47</v>
      </c>
      <c r="C48" s="124" t="s">
        <v>557</v>
      </c>
      <c r="D48" s="117" t="s">
        <v>0</v>
      </c>
      <c r="E48" s="117">
        <v>33</v>
      </c>
      <c r="F48" s="112" t="str">
        <f t="shared" si="0"/>
        <v>봉</v>
      </c>
      <c r="K48" s="118">
        <v>47</v>
      </c>
      <c r="L48" s="119" t="s">
        <v>447</v>
      </c>
      <c r="M48" s="122" t="s">
        <v>535</v>
      </c>
      <c r="N48" s="121">
        <v>12</v>
      </c>
    </row>
    <row r="49" spans="1:14" x14ac:dyDescent="0.4">
      <c r="B49" s="117">
        <v>48</v>
      </c>
      <c r="C49" s="117" t="s">
        <v>359</v>
      </c>
      <c r="D49" s="117" t="s">
        <v>0</v>
      </c>
      <c r="E49" s="117">
        <v>11</v>
      </c>
      <c r="F49" s="112" t="str">
        <f t="shared" si="0"/>
        <v>봉</v>
      </c>
      <c r="K49" s="118">
        <v>48</v>
      </c>
      <c r="L49" s="123" t="s">
        <v>333</v>
      </c>
      <c r="M49" s="120" t="s">
        <v>534</v>
      </c>
      <c r="N49" s="121">
        <v>12</v>
      </c>
    </row>
    <row r="50" spans="1:14" x14ac:dyDescent="0.4">
      <c r="B50" s="117">
        <v>49</v>
      </c>
      <c r="C50" s="124" t="s">
        <v>340</v>
      </c>
      <c r="D50" s="117" t="s">
        <v>0</v>
      </c>
      <c r="E50" s="117">
        <v>11</v>
      </c>
      <c r="F50" s="112" t="str">
        <f t="shared" si="0"/>
        <v>봉</v>
      </c>
      <c r="K50" s="118">
        <v>49</v>
      </c>
      <c r="L50" s="119" t="s">
        <v>278</v>
      </c>
      <c r="M50" s="122" t="s">
        <v>535</v>
      </c>
      <c r="N50" s="121">
        <v>12</v>
      </c>
    </row>
    <row r="51" spans="1:14" x14ac:dyDescent="0.4">
      <c r="B51" s="117">
        <v>50</v>
      </c>
      <c r="C51" s="117" t="s">
        <v>339</v>
      </c>
      <c r="D51" s="117" t="s">
        <v>0</v>
      </c>
      <c r="E51" s="117">
        <v>42</v>
      </c>
      <c r="F51" s="112" t="str">
        <f t="shared" si="0"/>
        <v>봉</v>
      </c>
      <c r="K51" s="118">
        <v>50</v>
      </c>
      <c r="L51" s="119" t="s">
        <v>358</v>
      </c>
      <c r="M51" s="122" t="s">
        <v>534</v>
      </c>
      <c r="N51" s="121">
        <v>12</v>
      </c>
    </row>
    <row r="52" spans="1:14" x14ac:dyDescent="0.4">
      <c r="B52" s="117">
        <v>51</v>
      </c>
      <c r="C52" s="117" t="s">
        <v>360</v>
      </c>
      <c r="D52" s="117" t="s">
        <v>0</v>
      </c>
      <c r="E52" s="117">
        <v>31</v>
      </c>
      <c r="F52" s="112" t="str">
        <f t="shared" si="0"/>
        <v>봉</v>
      </c>
      <c r="K52" s="118">
        <v>51</v>
      </c>
      <c r="L52" s="119" t="s">
        <v>306</v>
      </c>
      <c r="M52" s="122" t="s">
        <v>535</v>
      </c>
      <c r="N52" s="121">
        <v>12</v>
      </c>
    </row>
    <row r="53" spans="1:14" x14ac:dyDescent="0.4">
      <c r="B53" s="117">
        <v>52</v>
      </c>
      <c r="C53" s="117" t="s">
        <v>514</v>
      </c>
      <c r="D53" s="117" t="s">
        <v>0</v>
      </c>
      <c r="E53" s="117">
        <v>31</v>
      </c>
      <c r="F53" s="112" t="str">
        <f t="shared" si="0"/>
        <v>봉</v>
      </c>
      <c r="K53" s="118">
        <v>52</v>
      </c>
      <c r="L53" s="119" t="s">
        <v>460</v>
      </c>
      <c r="M53" s="122" t="s">
        <v>458</v>
      </c>
      <c r="N53" s="121">
        <v>12</v>
      </c>
    </row>
    <row r="54" spans="1:14" x14ac:dyDescent="0.4">
      <c r="B54" s="117">
        <v>53</v>
      </c>
      <c r="C54" s="117" t="s">
        <v>525</v>
      </c>
      <c r="D54" s="117" t="s">
        <v>0</v>
      </c>
      <c r="E54" s="117">
        <v>31</v>
      </c>
      <c r="F54" s="112" t="str">
        <f t="shared" si="0"/>
        <v>봉</v>
      </c>
      <c r="K54" s="118">
        <v>53</v>
      </c>
      <c r="L54" s="119" t="s">
        <v>364</v>
      </c>
      <c r="M54" s="120" t="s">
        <v>534</v>
      </c>
      <c r="N54" s="121">
        <v>12</v>
      </c>
    </row>
    <row r="55" spans="1:14" x14ac:dyDescent="0.4">
      <c r="B55" s="117">
        <v>54</v>
      </c>
      <c r="C55" s="124" t="s">
        <v>349</v>
      </c>
      <c r="D55" s="117" t="s">
        <v>0</v>
      </c>
      <c r="E55" s="117">
        <v>12</v>
      </c>
      <c r="F55" s="112" t="str">
        <f t="shared" si="0"/>
        <v>봉</v>
      </c>
      <c r="K55" s="118">
        <v>54</v>
      </c>
      <c r="L55" s="123" t="s">
        <v>313</v>
      </c>
      <c r="M55" s="122" t="s">
        <v>535</v>
      </c>
      <c r="N55" s="121">
        <v>12</v>
      </c>
    </row>
    <row r="56" spans="1:14" x14ac:dyDescent="0.4">
      <c r="B56" s="117">
        <v>55</v>
      </c>
      <c r="C56" s="117" t="s">
        <v>149</v>
      </c>
      <c r="D56" s="117" t="s">
        <v>0</v>
      </c>
      <c r="E56" s="117">
        <v>11</v>
      </c>
      <c r="F56" s="112" t="str">
        <f t="shared" si="0"/>
        <v>봉</v>
      </c>
      <c r="K56" s="118">
        <v>55</v>
      </c>
      <c r="L56" s="119" t="s">
        <v>137</v>
      </c>
      <c r="M56" s="120" t="s">
        <v>535</v>
      </c>
      <c r="N56" s="121">
        <v>12</v>
      </c>
    </row>
    <row r="57" spans="1:14" x14ac:dyDescent="0.4">
      <c r="B57" s="117">
        <v>56</v>
      </c>
      <c r="C57" s="117" t="s">
        <v>344</v>
      </c>
      <c r="D57" s="117" t="s">
        <v>0</v>
      </c>
      <c r="E57" s="117">
        <v>12</v>
      </c>
      <c r="F57" s="112" t="str">
        <f t="shared" si="0"/>
        <v>봉</v>
      </c>
      <c r="K57" s="118">
        <v>56</v>
      </c>
      <c r="L57" s="119" t="s">
        <v>533</v>
      </c>
      <c r="M57" s="122" t="s">
        <v>535</v>
      </c>
      <c r="N57" s="121">
        <v>12</v>
      </c>
    </row>
    <row r="58" spans="1:14" x14ac:dyDescent="0.4">
      <c r="B58" s="117">
        <v>57</v>
      </c>
      <c r="C58" s="117" t="s">
        <v>345</v>
      </c>
      <c r="D58" s="117" t="s">
        <v>0</v>
      </c>
      <c r="E58" s="117">
        <v>41</v>
      </c>
      <c r="F58" s="112" t="str">
        <f t="shared" si="0"/>
        <v>봉</v>
      </c>
      <c r="K58" s="118">
        <v>57</v>
      </c>
      <c r="L58" s="119" t="s">
        <v>546</v>
      </c>
      <c r="M58" s="122" t="s">
        <v>535</v>
      </c>
      <c r="N58" s="121">
        <v>12</v>
      </c>
    </row>
    <row r="59" spans="1:14" x14ac:dyDescent="0.4">
      <c r="B59" s="117">
        <v>58</v>
      </c>
      <c r="C59" s="117" t="s">
        <v>356</v>
      </c>
      <c r="D59" s="117" t="s">
        <v>0</v>
      </c>
      <c r="E59" s="117">
        <v>43</v>
      </c>
      <c r="F59" s="112" t="str">
        <f t="shared" si="0"/>
        <v>봉</v>
      </c>
      <c r="K59" s="118">
        <v>58</v>
      </c>
      <c r="L59" s="123" t="s">
        <v>236</v>
      </c>
      <c r="M59" s="122" t="s">
        <v>535</v>
      </c>
      <c r="N59" s="121">
        <v>12</v>
      </c>
    </row>
    <row r="60" spans="1:14" x14ac:dyDescent="0.4">
      <c r="A60" s="110" t="s">
        <v>601</v>
      </c>
      <c r="B60" s="117">
        <v>59</v>
      </c>
      <c r="C60" s="117" t="s">
        <v>520</v>
      </c>
      <c r="D60" s="117" t="s">
        <v>0</v>
      </c>
      <c r="E60" s="117">
        <v>32</v>
      </c>
      <c r="F60" s="112" t="str">
        <f t="shared" si="0"/>
        <v>봉</v>
      </c>
      <c r="K60" s="118">
        <v>59</v>
      </c>
      <c r="L60" s="123" t="s">
        <v>547</v>
      </c>
      <c r="M60" s="122" t="s">
        <v>535</v>
      </c>
      <c r="N60" s="121">
        <v>12</v>
      </c>
    </row>
    <row r="61" spans="1:14" x14ac:dyDescent="0.4">
      <c r="B61" s="117">
        <v>60</v>
      </c>
      <c r="C61" s="117" t="s">
        <v>361</v>
      </c>
      <c r="D61" s="117" t="s">
        <v>0</v>
      </c>
      <c r="E61" s="117">
        <v>22</v>
      </c>
      <c r="F61" s="112" t="str">
        <f t="shared" si="0"/>
        <v>봉</v>
      </c>
      <c r="K61" s="118">
        <v>60</v>
      </c>
      <c r="L61" s="119" t="s">
        <v>603</v>
      </c>
      <c r="M61" s="122" t="s">
        <v>536</v>
      </c>
      <c r="N61" s="121">
        <v>12</v>
      </c>
    </row>
    <row r="62" spans="1:14" x14ac:dyDescent="0.4">
      <c r="B62" s="117">
        <v>61</v>
      </c>
      <c r="C62" s="117" t="s">
        <v>353</v>
      </c>
      <c r="D62" s="117" t="s">
        <v>0</v>
      </c>
      <c r="E62" s="117">
        <v>32</v>
      </c>
      <c r="F62" s="112" t="str">
        <f t="shared" si="0"/>
        <v>봉</v>
      </c>
      <c r="K62" s="118">
        <v>61</v>
      </c>
      <c r="L62" s="119" t="s">
        <v>239</v>
      </c>
      <c r="M62" s="122" t="s">
        <v>536</v>
      </c>
      <c r="N62" s="121">
        <v>12</v>
      </c>
    </row>
    <row r="63" spans="1:14" x14ac:dyDescent="0.4">
      <c r="B63" s="117">
        <v>62</v>
      </c>
      <c r="C63" s="117" t="s">
        <v>465</v>
      </c>
      <c r="D63" s="117" t="s">
        <v>0</v>
      </c>
      <c r="E63" s="117">
        <v>33</v>
      </c>
      <c r="F63" s="112" t="str">
        <f t="shared" si="0"/>
        <v>봉</v>
      </c>
      <c r="K63" s="118">
        <v>62</v>
      </c>
      <c r="L63" s="119" t="s">
        <v>548</v>
      </c>
      <c r="M63" s="120" t="s">
        <v>536</v>
      </c>
      <c r="N63" s="121">
        <v>12</v>
      </c>
    </row>
    <row r="64" spans="1:14" x14ac:dyDescent="0.4">
      <c r="B64" s="117">
        <v>63</v>
      </c>
      <c r="C64" s="124" t="s">
        <v>217</v>
      </c>
      <c r="D64" s="117" t="s">
        <v>0</v>
      </c>
      <c r="E64" s="117">
        <v>43</v>
      </c>
      <c r="F64" s="112" t="str">
        <f t="shared" si="0"/>
        <v>봉</v>
      </c>
      <c r="K64" s="118">
        <v>63</v>
      </c>
      <c r="L64" s="123" t="s">
        <v>172</v>
      </c>
      <c r="M64" s="122" t="s">
        <v>536</v>
      </c>
      <c r="N64" s="121">
        <v>12</v>
      </c>
    </row>
    <row r="65" spans="1:14" x14ac:dyDescent="0.4">
      <c r="B65" s="117">
        <v>64</v>
      </c>
      <c r="C65" s="124" t="s">
        <v>350</v>
      </c>
      <c r="D65" s="117" t="s">
        <v>0</v>
      </c>
      <c r="E65" s="117">
        <v>42</v>
      </c>
      <c r="F65" s="112" t="str">
        <f t="shared" si="0"/>
        <v>봉</v>
      </c>
      <c r="K65" s="118">
        <v>64</v>
      </c>
      <c r="L65" s="119" t="s">
        <v>133</v>
      </c>
      <c r="M65" s="122" t="s">
        <v>458</v>
      </c>
      <c r="N65" s="121">
        <v>12</v>
      </c>
    </row>
    <row r="66" spans="1:14" x14ac:dyDescent="0.4">
      <c r="B66" s="117">
        <v>65</v>
      </c>
      <c r="C66" s="124" t="s">
        <v>178</v>
      </c>
      <c r="D66" s="117" t="s">
        <v>0</v>
      </c>
      <c r="E66" s="117">
        <v>42</v>
      </c>
      <c r="F66" s="112" t="str">
        <f t="shared" si="0"/>
        <v>봉</v>
      </c>
      <c r="K66" s="118">
        <v>65</v>
      </c>
      <c r="L66" s="119" t="s">
        <v>135</v>
      </c>
      <c r="M66" s="122" t="s">
        <v>458</v>
      </c>
      <c r="N66" s="121">
        <v>12</v>
      </c>
    </row>
    <row r="67" spans="1:14" x14ac:dyDescent="0.4">
      <c r="B67" s="117">
        <v>66</v>
      </c>
      <c r="C67" s="117" t="s">
        <v>263</v>
      </c>
      <c r="D67" s="117" t="s">
        <v>0</v>
      </c>
      <c r="E67" s="117">
        <v>33</v>
      </c>
      <c r="F67" s="112" t="str">
        <f t="shared" ref="F67:F130" si="1">VLOOKUP(C67,L:N,2,0)</f>
        <v>봉</v>
      </c>
      <c r="K67" s="118">
        <v>66</v>
      </c>
      <c r="L67" s="119" t="s">
        <v>184</v>
      </c>
      <c r="M67" s="126" t="s">
        <v>458</v>
      </c>
      <c r="N67" s="121">
        <v>12</v>
      </c>
    </row>
    <row r="68" spans="1:14" x14ac:dyDescent="0.4">
      <c r="B68" s="117">
        <v>67</v>
      </c>
      <c r="C68" s="117" t="s">
        <v>516</v>
      </c>
      <c r="D68" s="117" t="s">
        <v>0</v>
      </c>
      <c r="E68" s="117">
        <v>31</v>
      </c>
      <c r="F68" s="112" t="str">
        <f t="shared" si="1"/>
        <v>봉</v>
      </c>
      <c r="K68" s="118">
        <v>67</v>
      </c>
      <c r="L68" s="119" t="s">
        <v>267</v>
      </c>
      <c r="M68" s="120" t="s">
        <v>458</v>
      </c>
      <c r="N68" s="128">
        <v>12</v>
      </c>
    </row>
    <row r="69" spans="1:14" x14ac:dyDescent="0.4">
      <c r="B69" s="117">
        <v>68</v>
      </c>
      <c r="C69" s="117" t="s">
        <v>459</v>
      </c>
      <c r="D69" s="117" t="s">
        <v>0</v>
      </c>
      <c r="E69" s="117">
        <v>41</v>
      </c>
      <c r="F69" s="112" t="str">
        <f t="shared" si="1"/>
        <v>봉</v>
      </c>
      <c r="K69" s="118">
        <v>68</v>
      </c>
      <c r="L69" s="119" t="s">
        <v>266</v>
      </c>
      <c r="M69" s="122" t="s">
        <v>458</v>
      </c>
      <c r="N69" s="128">
        <v>12</v>
      </c>
    </row>
    <row r="70" spans="1:14" x14ac:dyDescent="0.4">
      <c r="B70" s="117">
        <v>69</v>
      </c>
      <c r="C70" s="117" t="s">
        <v>214</v>
      </c>
      <c r="D70" s="117" t="s">
        <v>0</v>
      </c>
      <c r="E70" s="117">
        <v>41</v>
      </c>
      <c r="F70" s="112" t="str">
        <f t="shared" si="1"/>
        <v>봉</v>
      </c>
      <c r="K70" s="118">
        <v>69</v>
      </c>
      <c r="L70" s="119" t="s">
        <v>528</v>
      </c>
      <c r="M70" s="122" t="s">
        <v>458</v>
      </c>
      <c r="N70" s="128">
        <v>12</v>
      </c>
    </row>
    <row r="71" spans="1:14" x14ac:dyDescent="0.4">
      <c r="B71" s="117">
        <v>70</v>
      </c>
      <c r="C71" s="117" t="s">
        <v>512</v>
      </c>
      <c r="D71" s="117" t="s">
        <v>0</v>
      </c>
      <c r="E71" s="117">
        <v>32</v>
      </c>
      <c r="F71" s="112" t="str">
        <f t="shared" si="1"/>
        <v>봉</v>
      </c>
      <c r="K71" s="118">
        <v>70</v>
      </c>
      <c r="L71" s="119" t="s">
        <v>351</v>
      </c>
      <c r="M71" s="122" t="s">
        <v>534</v>
      </c>
      <c r="N71" s="128">
        <v>21</v>
      </c>
    </row>
    <row r="72" spans="1:14" x14ac:dyDescent="0.4">
      <c r="A72" s="110" t="s">
        <v>601</v>
      </c>
      <c r="B72" s="117">
        <v>71</v>
      </c>
      <c r="C72" s="117" t="s">
        <v>446</v>
      </c>
      <c r="D72" s="117" t="s">
        <v>0</v>
      </c>
      <c r="E72" s="117">
        <v>21</v>
      </c>
      <c r="F72" s="112" t="str">
        <f t="shared" si="1"/>
        <v>봉</v>
      </c>
      <c r="K72" s="118">
        <v>71</v>
      </c>
      <c r="L72" s="123" t="s">
        <v>296</v>
      </c>
      <c r="M72" s="120" t="s">
        <v>535</v>
      </c>
      <c r="N72" s="128">
        <v>21</v>
      </c>
    </row>
    <row r="73" spans="1:14" x14ac:dyDescent="0.4">
      <c r="B73" s="117">
        <v>72</v>
      </c>
      <c r="C73" s="117" t="s">
        <v>509</v>
      </c>
      <c r="D73" s="117" t="s">
        <v>0</v>
      </c>
      <c r="E73" s="117">
        <v>41</v>
      </c>
      <c r="F73" s="112" t="str">
        <f t="shared" si="1"/>
        <v>봉</v>
      </c>
      <c r="K73" s="118">
        <v>72</v>
      </c>
      <c r="L73" s="119" t="s">
        <v>335</v>
      </c>
      <c r="M73" s="122" t="s">
        <v>534</v>
      </c>
      <c r="N73" s="128">
        <v>21</v>
      </c>
    </row>
    <row r="74" spans="1:14" x14ac:dyDescent="0.4">
      <c r="A74" s="110" t="s">
        <v>601</v>
      </c>
      <c r="B74" s="117">
        <v>73</v>
      </c>
      <c r="C74" s="117" t="s">
        <v>600</v>
      </c>
      <c r="D74" s="117" t="s">
        <v>0</v>
      </c>
      <c r="E74" s="117">
        <v>11</v>
      </c>
      <c r="F74" s="112" t="str">
        <f t="shared" si="1"/>
        <v>봉</v>
      </c>
      <c r="K74" s="118">
        <v>73</v>
      </c>
      <c r="L74" s="119" t="s">
        <v>280</v>
      </c>
      <c r="M74" s="122" t="s">
        <v>535</v>
      </c>
      <c r="N74" s="128">
        <v>21</v>
      </c>
    </row>
    <row r="75" spans="1:14" x14ac:dyDescent="0.4">
      <c r="B75" s="117">
        <v>74</v>
      </c>
      <c r="C75" s="117" t="s">
        <v>275</v>
      </c>
      <c r="D75" s="117" t="s">
        <v>0</v>
      </c>
      <c r="E75" s="117">
        <v>41</v>
      </c>
      <c r="F75" s="112" t="str">
        <f t="shared" si="1"/>
        <v>봉</v>
      </c>
      <c r="K75" s="118">
        <v>74</v>
      </c>
      <c r="L75" s="123" t="s">
        <v>343</v>
      </c>
      <c r="M75" s="122" t="s">
        <v>534</v>
      </c>
      <c r="N75" s="128">
        <v>21</v>
      </c>
    </row>
    <row r="76" spans="1:14" x14ac:dyDescent="0.4">
      <c r="B76" s="117">
        <v>75</v>
      </c>
      <c r="C76" s="117" t="s">
        <v>219</v>
      </c>
      <c r="D76" s="117" t="s">
        <v>0</v>
      </c>
      <c r="E76" s="117">
        <v>42</v>
      </c>
      <c r="F76" s="112" t="str">
        <f t="shared" si="1"/>
        <v>봉</v>
      </c>
      <c r="K76" s="118">
        <v>75</v>
      </c>
      <c r="L76" s="119" t="s">
        <v>287</v>
      </c>
      <c r="M76" s="122" t="s">
        <v>535</v>
      </c>
      <c r="N76" s="128">
        <v>21</v>
      </c>
    </row>
    <row r="77" spans="1:14" x14ac:dyDescent="0.4">
      <c r="B77" s="117">
        <v>76</v>
      </c>
      <c r="C77" s="117" t="s">
        <v>539</v>
      </c>
      <c r="D77" s="117" t="s">
        <v>0</v>
      </c>
      <c r="E77" s="117">
        <v>21</v>
      </c>
      <c r="F77" s="112" t="str">
        <f t="shared" si="1"/>
        <v>봉</v>
      </c>
      <c r="K77" s="118">
        <v>76</v>
      </c>
      <c r="L77" s="119" t="s">
        <v>187</v>
      </c>
      <c r="M77" s="122" t="s">
        <v>534</v>
      </c>
      <c r="N77" s="128">
        <v>21</v>
      </c>
    </row>
    <row r="78" spans="1:14" x14ac:dyDescent="0.4">
      <c r="B78" s="117">
        <v>77</v>
      </c>
      <c r="C78" s="117" t="s">
        <v>530</v>
      </c>
      <c r="D78" s="117" t="s">
        <v>0</v>
      </c>
      <c r="E78" s="117">
        <v>32</v>
      </c>
      <c r="F78" s="112" t="str">
        <f t="shared" si="1"/>
        <v>봉</v>
      </c>
      <c r="K78" s="118">
        <v>77</v>
      </c>
      <c r="L78" s="123" t="s">
        <v>527</v>
      </c>
      <c r="M78" s="120" t="s">
        <v>535</v>
      </c>
      <c r="N78" s="128">
        <v>21</v>
      </c>
    </row>
    <row r="79" spans="1:14" x14ac:dyDescent="0.4">
      <c r="B79" s="117">
        <v>78</v>
      </c>
      <c r="C79" s="117" t="s">
        <v>550</v>
      </c>
      <c r="D79" s="117" t="s">
        <v>0</v>
      </c>
      <c r="E79" s="117">
        <v>31</v>
      </c>
      <c r="F79" s="112" t="str">
        <f t="shared" si="1"/>
        <v>봉</v>
      </c>
      <c r="K79" s="118">
        <v>78</v>
      </c>
      <c r="L79" s="119" t="s">
        <v>341</v>
      </c>
      <c r="M79" s="122" t="s">
        <v>534</v>
      </c>
      <c r="N79" s="128">
        <v>21</v>
      </c>
    </row>
    <row r="80" spans="1:14" x14ac:dyDescent="0.4">
      <c r="B80" s="117">
        <v>79</v>
      </c>
      <c r="C80" s="117" t="s">
        <v>348</v>
      </c>
      <c r="D80" s="117" t="s">
        <v>0</v>
      </c>
      <c r="E80" s="117">
        <v>43</v>
      </c>
      <c r="F80" s="112" t="str">
        <f t="shared" si="1"/>
        <v>봉</v>
      </c>
      <c r="K80" s="118">
        <v>79</v>
      </c>
      <c r="L80" s="119" t="s">
        <v>538</v>
      </c>
      <c r="M80" s="122" t="s">
        <v>535</v>
      </c>
      <c r="N80" s="128">
        <v>21</v>
      </c>
    </row>
    <row r="81" spans="1:14" x14ac:dyDescent="0.4">
      <c r="B81" s="117">
        <v>80</v>
      </c>
      <c r="C81" s="117" t="s">
        <v>578</v>
      </c>
      <c r="D81" s="117" t="s">
        <v>0</v>
      </c>
      <c r="E81" s="117">
        <v>11</v>
      </c>
      <c r="F81" s="112" t="str">
        <f t="shared" si="1"/>
        <v>봉</v>
      </c>
      <c r="K81" s="118">
        <v>80</v>
      </c>
      <c r="L81" s="119" t="s">
        <v>539</v>
      </c>
      <c r="M81" s="122" t="s">
        <v>534</v>
      </c>
      <c r="N81" s="128">
        <v>21</v>
      </c>
    </row>
    <row r="82" spans="1:14" x14ac:dyDescent="0.4">
      <c r="A82" s="110" t="s">
        <v>601</v>
      </c>
      <c r="B82" s="117">
        <v>81</v>
      </c>
      <c r="C82" s="117" t="s">
        <v>262</v>
      </c>
      <c r="D82" s="117" t="s">
        <v>0</v>
      </c>
      <c r="E82" s="117">
        <v>31</v>
      </c>
      <c r="F82" s="112" t="str">
        <f t="shared" si="1"/>
        <v>봉</v>
      </c>
      <c r="K82" s="118">
        <v>81</v>
      </c>
      <c r="L82" s="119" t="s">
        <v>175</v>
      </c>
      <c r="M82" s="122" t="s">
        <v>535</v>
      </c>
      <c r="N82" s="128">
        <v>21</v>
      </c>
    </row>
    <row r="83" spans="1:14" x14ac:dyDescent="0.4">
      <c r="B83" s="117">
        <v>82</v>
      </c>
      <c r="C83" s="129"/>
      <c r="D83" s="117" t="s">
        <v>0</v>
      </c>
      <c r="E83" s="117" t="e">
        <v>#N/A</v>
      </c>
      <c r="F83" s="112" t="e">
        <f t="shared" si="1"/>
        <v>#N/A</v>
      </c>
      <c r="K83" s="118">
        <v>82</v>
      </c>
      <c r="L83" s="119" t="s">
        <v>602</v>
      </c>
      <c r="M83" s="120" t="s">
        <v>534</v>
      </c>
      <c r="N83" s="128">
        <v>21</v>
      </c>
    </row>
    <row r="84" spans="1:14" x14ac:dyDescent="0.4">
      <c r="B84" s="117">
        <v>83</v>
      </c>
      <c r="C84" s="129"/>
      <c r="D84" s="117" t="s">
        <v>0</v>
      </c>
      <c r="E84" s="117" t="e">
        <v>#N/A</v>
      </c>
      <c r="F84" s="112" t="e">
        <f t="shared" si="1"/>
        <v>#N/A</v>
      </c>
      <c r="K84" s="118">
        <v>83</v>
      </c>
      <c r="L84" s="123" t="s">
        <v>604</v>
      </c>
      <c r="M84" s="122" t="s">
        <v>535</v>
      </c>
      <c r="N84" s="128">
        <v>21</v>
      </c>
    </row>
    <row r="85" spans="1:14" x14ac:dyDescent="0.4">
      <c r="B85" s="117">
        <v>84</v>
      </c>
      <c r="C85" s="129"/>
      <c r="D85" s="117" t="s">
        <v>0</v>
      </c>
      <c r="E85" s="117" t="e">
        <v>#N/A</v>
      </c>
      <c r="F85" s="112" t="e">
        <f t="shared" si="1"/>
        <v>#N/A</v>
      </c>
      <c r="K85" s="118">
        <v>84</v>
      </c>
      <c r="L85" s="119" t="s">
        <v>241</v>
      </c>
      <c r="M85" s="120" t="s">
        <v>534</v>
      </c>
      <c r="N85" s="128">
        <v>21</v>
      </c>
    </row>
    <row r="86" spans="1:14" x14ac:dyDescent="0.4">
      <c r="B86" s="117">
        <v>85</v>
      </c>
      <c r="C86" s="129"/>
      <c r="D86" s="117" t="s">
        <v>0</v>
      </c>
      <c r="E86" s="117" t="e">
        <v>#N/A</v>
      </c>
      <c r="F86" s="112" t="e">
        <f t="shared" si="1"/>
        <v>#N/A</v>
      </c>
      <c r="K86" s="118">
        <v>85</v>
      </c>
      <c r="L86" s="119" t="s">
        <v>446</v>
      </c>
      <c r="M86" s="122" t="s">
        <v>534</v>
      </c>
      <c r="N86" s="128">
        <v>21</v>
      </c>
    </row>
    <row r="87" spans="1:14" x14ac:dyDescent="0.4">
      <c r="B87" s="130"/>
      <c r="C87" s="131"/>
      <c r="D87" s="130"/>
      <c r="E87" s="130"/>
      <c r="K87" s="118">
        <v>86</v>
      </c>
      <c r="L87" s="119" t="s">
        <v>281</v>
      </c>
      <c r="M87" s="122" t="s">
        <v>535</v>
      </c>
      <c r="N87" s="128">
        <v>21</v>
      </c>
    </row>
    <row r="88" spans="1:14" x14ac:dyDescent="0.4">
      <c r="B88" s="132" t="s">
        <v>37</v>
      </c>
      <c r="C88" s="133" t="s">
        <v>443</v>
      </c>
      <c r="D88" s="132" t="s">
        <v>1</v>
      </c>
      <c r="E88" s="132">
        <v>11</v>
      </c>
      <c r="F88" s="112" t="str">
        <f t="shared" si="1"/>
        <v>어</v>
      </c>
      <c r="K88" s="118">
        <v>87</v>
      </c>
      <c r="L88" s="123" t="s">
        <v>141</v>
      </c>
      <c r="M88" s="122" t="s">
        <v>536</v>
      </c>
      <c r="N88" s="128">
        <v>21</v>
      </c>
    </row>
    <row r="89" spans="1:14" x14ac:dyDescent="0.4">
      <c r="B89" s="132" t="s">
        <v>605</v>
      </c>
      <c r="C89" s="134" t="s">
        <v>447</v>
      </c>
      <c r="D89" s="132" t="s">
        <v>1</v>
      </c>
      <c r="E89" s="132">
        <v>12</v>
      </c>
      <c r="F89" s="112" t="str">
        <f t="shared" si="1"/>
        <v>어</v>
      </c>
      <c r="K89" s="118">
        <v>88</v>
      </c>
      <c r="L89" s="123" t="s">
        <v>300</v>
      </c>
      <c r="M89" s="122" t="s">
        <v>535</v>
      </c>
      <c r="N89" s="128">
        <v>21</v>
      </c>
    </row>
    <row r="90" spans="1:14" x14ac:dyDescent="0.4">
      <c r="B90" s="132" t="s">
        <v>2</v>
      </c>
      <c r="C90" s="134" t="s">
        <v>527</v>
      </c>
      <c r="D90" s="132" t="s">
        <v>1</v>
      </c>
      <c r="E90" s="132">
        <v>21</v>
      </c>
      <c r="F90" s="112" t="str">
        <f t="shared" si="1"/>
        <v>어</v>
      </c>
      <c r="K90" s="118">
        <v>89</v>
      </c>
      <c r="L90" s="119" t="s">
        <v>522</v>
      </c>
      <c r="M90" s="122" t="s">
        <v>536</v>
      </c>
      <c r="N90" s="128">
        <v>21</v>
      </c>
    </row>
    <row r="91" spans="1:14" x14ac:dyDescent="0.4">
      <c r="B91" s="132" t="s">
        <v>3</v>
      </c>
      <c r="C91" s="134" t="s">
        <v>268</v>
      </c>
      <c r="D91" s="132" t="s">
        <v>1</v>
      </c>
      <c r="E91" s="132">
        <v>33</v>
      </c>
      <c r="F91" s="112" t="str">
        <f t="shared" si="1"/>
        <v>어</v>
      </c>
      <c r="K91" s="118">
        <v>90</v>
      </c>
      <c r="L91" s="119" t="s">
        <v>540</v>
      </c>
      <c r="M91" s="122" t="s">
        <v>536</v>
      </c>
      <c r="N91" s="128">
        <v>21</v>
      </c>
    </row>
    <row r="92" spans="1:14" x14ac:dyDescent="0.4">
      <c r="B92" s="132" t="s">
        <v>4</v>
      </c>
      <c r="C92" s="133" t="s">
        <v>288</v>
      </c>
      <c r="D92" s="132" t="s">
        <v>1</v>
      </c>
      <c r="E92" s="132">
        <v>12</v>
      </c>
      <c r="F92" s="112" t="str">
        <f t="shared" si="1"/>
        <v>어</v>
      </c>
      <c r="K92" s="118">
        <v>91</v>
      </c>
      <c r="L92" s="119" t="s">
        <v>192</v>
      </c>
      <c r="M92" s="120" t="s">
        <v>536</v>
      </c>
      <c r="N92" s="128">
        <v>21</v>
      </c>
    </row>
    <row r="93" spans="1:14" x14ac:dyDescent="0.4">
      <c r="B93" s="132" t="s">
        <v>5</v>
      </c>
      <c r="C93" s="133" t="s">
        <v>278</v>
      </c>
      <c r="D93" s="132" t="s">
        <v>1</v>
      </c>
      <c r="E93" s="132">
        <v>12</v>
      </c>
      <c r="F93" s="112" t="str">
        <f t="shared" si="1"/>
        <v>어</v>
      </c>
      <c r="K93" s="118">
        <v>92</v>
      </c>
      <c r="L93" s="123" t="s">
        <v>140</v>
      </c>
      <c r="M93" s="122" t="s">
        <v>536</v>
      </c>
      <c r="N93" s="128">
        <v>21</v>
      </c>
    </row>
    <row r="94" spans="1:14" x14ac:dyDescent="0.4">
      <c r="B94" s="132" t="s">
        <v>6</v>
      </c>
      <c r="C94" s="133" t="s">
        <v>439</v>
      </c>
      <c r="D94" s="132" t="s">
        <v>1</v>
      </c>
      <c r="E94" s="132">
        <v>43</v>
      </c>
      <c r="F94" s="112" t="str">
        <f t="shared" si="1"/>
        <v>어</v>
      </c>
      <c r="K94" s="118">
        <v>93</v>
      </c>
      <c r="L94" s="119" t="s">
        <v>606</v>
      </c>
      <c r="M94" s="122" t="s">
        <v>536</v>
      </c>
      <c r="N94" s="128">
        <v>21</v>
      </c>
    </row>
    <row r="95" spans="1:14" x14ac:dyDescent="0.4">
      <c r="B95" s="132" t="s">
        <v>7</v>
      </c>
      <c r="C95" s="133" t="s">
        <v>283</v>
      </c>
      <c r="D95" s="132" t="s">
        <v>1</v>
      </c>
      <c r="E95" s="132">
        <v>41</v>
      </c>
      <c r="F95" s="112" t="str">
        <f t="shared" si="1"/>
        <v>어</v>
      </c>
      <c r="K95" s="118">
        <v>94</v>
      </c>
      <c r="L95" s="119" t="s">
        <v>607</v>
      </c>
      <c r="M95" s="122" t="s">
        <v>535</v>
      </c>
      <c r="N95" s="128">
        <v>21</v>
      </c>
    </row>
    <row r="96" spans="1:14" x14ac:dyDescent="0.4">
      <c r="B96" s="132" t="s">
        <v>8</v>
      </c>
      <c r="C96" s="134" t="s">
        <v>273</v>
      </c>
      <c r="D96" s="132" t="s">
        <v>1</v>
      </c>
      <c r="E96" s="132">
        <v>42</v>
      </c>
      <c r="F96" s="112" t="str">
        <f t="shared" si="1"/>
        <v>어</v>
      </c>
      <c r="K96" s="118">
        <v>95</v>
      </c>
      <c r="L96" s="123" t="s">
        <v>229</v>
      </c>
      <c r="M96" s="122" t="s">
        <v>458</v>
      </c>
      <c r="N96" s="128">
        <v>21</v>
      </c>
    </row>
    <row r="97" spans="1:14" x14ac:dyDescent="0.4">
      <c r="B97" s="132" t="s">
        <v>9</v>
      </c>
      <c r="C97" s="133" t="s">
        <v>177</v>
      </c>
      <c r="D97" s="132" t="s">
        <v>1</v>
      </c>
      <c r="E97" s="132">
        <v>32</v>
      </c>
      <c r="F97" s="112" t="str">
        <f t="shared" si="1"/>
        <v>어</v>
      </c>
      <c r="K97" s="118">
        <v>96</v>
      </c>
      <c r="L97" s="119" t="s">
        <v>240</v>
      </c>
      <c r="M97" s="122" t="s">
        <v>458</v>
      </c>
      <c r="N97" s="128">
        <v>21</v>
      </c>
    </row>
    <row r="98" spans="1:14" x14ac:dyDescent="0.4">
      <c r="B98" s="132" t="s">
        <v>10</v>
      </c>
      <c r="C98" s="134" t="s">
        <v>293</v>
      </c>
      <c r="D98" s="132" t="s">
        <v>1</v>
      </c>
      <c r="E98" s="132">
        <v>12</v>
      </c>
      <c r="F98" s="112" t="str">
        <f t="shared" si="1"/>
        <v>어</v>
      </c>
      <c r="K98" s="118">
        <v>97</v>
      </c>
      <c r="L98" s="119" t="s">
        <v>150</v>
      </c>
      <c r="M98" s="120" t="s">
        <v>458</v>
      </c>
      <c r="N98" s="128">
        <v>21</v>
      </c>
    </row>
    <row r="99" spans="1:14" ht="19.2" x14ac:dyDescent="0.4">
      <c r="B99" s="132" t="s">
        <v>11</v>
      </c>
      <c r="C99" s="134" t="s">
        <v>507</v>
      </c>
      <c r="D99" s="132" t="s">
        <v>1</v>
      </c>
      <c r="E99" s="132">
        <v>22</v>
      </c>
      <c r="F99" s="112" t="str">
        <f t="shared" si="1"/>
        <v>어</v>
      </c>
      <c r="K99" s="118">
        <v>98</v>
      </c>
      <c r="L99" s="135" t="s">
        <v>541</v>
      </c>
      <c r="M99" s="126" t="s">
        <v>458</v>
      </c>
      <c r="N99" s="128">
        <v>21</v>
      </c>
    </row>
    <row r="100" spans="1:14" ht="19.2" x14ac:dyDescent="0.4">
      <c r="B100" s="132" t="s">
        <v>12</v>
      </c>
      <c r="C100" s="134" t="s">
        <v>282</v>
      </c>
      <c r="D100" s="132" t="s">
        <v>1</v>
      </c>
      <c r="E100" s="132">
        <v>43</v>
      </c>
      <c r="F100" s="112" t="str">
        <f t="shared" si="1"/>
        <v>어</v>
      </c>
      <c r="K100" s="118">
        <v>99</v>
      </c>
      <c r="L100" s="135" t="s">
        <v>174</v>
      </c>
      <c r="M100" s="126" t="s">
        <v>458</v>
      </c>
      <c r="N100" s="128">
        <v>21</v>
      </c>
    </row>
    <row r="101" spans="1:14" x14ac:dyDescent="0.4">
      <c r="B101" s="132" t="s">
        <v>13</v>
      </c>
      <c r="C101" s="133" t="s">
        <v>234</v>
      </c>
      <c r="D101" s="132" t="s">
        <v>1</v>
      </c>
      <c r="E101" s="132">
        <v>41</v>
      </c>
      <c r="F101" s="112" t="str">
        <f t="shared" si="1"/>
        <v>어</v>
      </c>
      <c r="K101" s="118">
        <v>100</v>
      </c>
      <c r="L101" s="119" t="s">
        <v>366</v>
      </c>
      <c r="M101" s="120" t="s">
        <v>534</v>
      </c>
      <c r="N101" s="128">
        <v>22</v>
      </c>
    </row>
    <row r="102" spans="1:14" x14ac:dyDescent="0.4">
      <c r="B102" s="132" t="s">
        <v>14</v>
      </c>
      <c r="C102" s="134" t="s">
        <v>308</v>
      </c>
      <c r="D102" s="132" t="s">
        <v>1</v>
      </c>
      <c r="E102" s="132">
        <v>31</v>
      </c>
      <c r="F102" s="112" t="str">
        <f t="shared" si="1"/>
        <v>어</v>
      </c>
      <c r="K102" s="118">
        <v>101</v>
      </c>
      <c r="L102" s="119" t="s">
        <v>507</v>
      </c>
      <c r="M102" s="122" t="s">
        <v>535</v>
      </c>
      <c r="N102" s="128">
        <v>22</v>
      </c>
    </row>
    <row r="103" spans="1:14" x14ac:dyDescent="0.4">
      <c r="B103" s="132" t="s">
        <v>15</v>
      </c>
      <c r="C103" s="133" t="s">
        <v>316</v>
      </c>
      <c r="D103" s="132" t="s">
        <v>1</v>
      </c>
      <c r="E103" s="132">
        <v>11</v>
      </c>
      <c r="F103" s="112" t="str">
        <f t="shared" si="1"/>
        <v>어</v>
      </c>
      <c r="K103" s="118">
        <v>102</v>
      </c>
      <c r="L103" s="119" t="s">
        <v>352</v>
      </c>
      <c r="M103" s="122" t="s">
        <v>534</v>
      </c>
      <c r="N103" s="128">
        <v>22</v>
      </c>
    </row>
    <row r="104" spans="1:14" x14ac:dyDescent="0.4">
      <c r="B104" s="132" t="s">
        <v>16</v>
      </c>
      <c r="C104" s="133" t="s">
        <v>252</v>
      </c>
      <c r="D104" s="132" t="s">
        <v>1</v>
      </c>
      <c r="E104" s="132">
        <v>32</v>
      </c>
      <c r="F104" s="112" t="str">
        <f t="shared" si="1"/>
        <v>어</v>
      </c>
      <c r="K104" s="118">
        <v>103</v>
      </c>
      <c r="L104" s="119" t="s">
        <v>297</v>
      </c>
      <c r="M104" s="122" t="s">
        <v>535</v>
      </c>
      <c r="N104" s="128">
        <v>22</v>
      </c>
    </row>
    <row r="105" spans="1:14" x14ac:dyDescent="0.4">
      <c r="A105" s="110" t="s">
        <v>601</v>
      </c>
      <c r="B105" s="132" t="s">
        <v>17</v>
      </c>
      <c r="C105" s="134" t="s">
        <v>608</v>
      </c>
      <c r="D105" s="132" t="s">
        <v>1</v>
      </c>
      <c r="E105" s="132">
        <v>33</v>
      </c>
      <c r="F105" s="112" t="str">
        <f t="shared" si="1"/>
        <v>어</v>
      </c>
      <c r="K105" s="118">
        <v>104</v>
      </c>
      <c r="L105" s="123" t="s">
        <v>346</v>
      </c>
      <c r="M105" s="120" t="s">
        <v>534</v>
      </c>
      <c r="N105" s="128">
        <v>22</v>
      </c>
    </row>
    <row r="106" spans="1:14" x14ac:dyDescent="0.4">
      <c r="B106" s="132" t="s">
        <v>18</v>
      </c>
      <c r="C106" s="134" t="s">
        <v>180</v>
      </c>
      <c r="D106" s="132" t="s">
        <v>1</v>
      </c>
      <c r="E106" s="132">
        <v>11</v>
      </c>
      <c r="F106" s="112" t="str">
        <f t="shared" si="1"/>
        <v>어</v>
      </c>
      <c r="K106" s="118">
        <v>105</v>
      </c>
      <c r="L106" s="119" t="s">
        <v>290</v>
      </c>
      <c r="M106" s="122" t="s">
        <v>535</v>
      </c>
      <c r="N106" s="128">
        <v>22</v>
      </c>
    </row>
    <row r="107" spans="1:14" x14ac:dyDescent="0.4">
      <c r="B107" s="132" t="s">
        <v>19</v>
      </c>
      <c r="C107" s="133" t="s">
        <v>251</v>
      </c>
      <c r="D107" s="132" t="s">
        <v>1</v>
      </c>
      <c r="E107" s="132">
        <v>22</v>
      </c>
      <c r="F107" s="112" t="str">
        <f t="shared" si="1"/>
        <v>어</v>
      </c>
      <c r="K107" s="118">
        <v>106</v>
      </c>
      <c r="L107" s="119" t="s">
        <v>355</v>
      </c>
      <c r="M107" s="122" t="s">
        <v>534</v>
      </c>
      <c r="N107" s="128">
        <v>22</v>
      </c>
    </row>
    <row r="108" spans="1:14" x14ac:dyDescent="0.4">
      <c r="B108" s="132" t="s">
        <v>20</v>
      </c>
      <c r="C108" s="133" t="s">
        <v>296</v>
      </c>
      <c r="D108" s="132" t="s">
        <v>1</v>
      </c>
      <c r="E108" s="132">
        <v>21</v>
      </c>
      <c r="F108" s="112" t="str">
        <f t="shared" si="1"/>
        <v>어</v>
      </c>
      <c r="K108" s="118">
        <v>107</v>
      </c>
      <c r="L108" s="123" t="s">
        <v>302</v>
      </c>
      <c r="M108" s="122" t="s">
        <v>535</v>
      </c>
      <c r="N108" s="128">
        <v>22</v>
      </c>
    </row>
    <row r="109" spans="1:14" x14ac:dyDescent="0.4">
      <c r="B109" s="132" t="s">
        <v>21</v>
      </c>
      <c r="C109" s="133" t="s">
        <v>466</v>
      </c>
      <c r="D109" s="132" t="s">
        <v>1</v>
      </c>
      <c r="E109" s="132">
        <v>11</v>
      </c>
      <c r="F109" s="112" t="str">
        <f t="shared" si="1"/>
        <v>어</v>
      </c>
      <c r="K109" s="118">
        <v>108</v>
      </c>
      <c r="L109" s="119" t="s">
        <v>365</v>
      </c>
      <c r="M109" s="122" t="s">
        <v>534</v>
      </c>
      <c r="N109" s="128">
        <v>22</v>
      </c>
    </row>
    <row r="110" spans="1:14" x14ac:dyDescent="0.4">
      <c r="B110" s="132" t="s">
        <v>22</v>
      </c>
      <c r="C110" s="134" t="s">
        <v>179</v>
      </c>
      <c r="D110" s="132" t="s">
        <v>1</v>
      </c>
      <c r="E110" s="132">
        <v>22</v>
      </c>
      <c r="F110" s="112" t="str">
        <f t="shared" si="1"/>
        <v>어</v>
      </c>
      <c r="K110" s="118">
        <v>109</v>
      </c>
      <c r="L110" s="119" t="s">
        <v>314</v>
      </c>
      <c r="M110" s="122" t="s">
        <v>535</v>
      </c>
      <c r="N110" s="128">
        <v>22</v>
      </c>
    </row>
    <row r="111" spans="1:14" x14ac:dyDescent="0.4">
      <c r="B111" s="132" t="s">
        <v>23</v>
      </c>
      <c r="C111" s="133" t="s">
        <v>253</v>
      </c>
      <c r="D111" s="132" t="s">
        <v>1</v>
      </c>
      <c r="E111" s="132">
        <v>43</v>
      </c>
      <c r="F111" s="112" t="str">
        <f t="shared" si="1"/>
        <v>어</v>
      </c>
      <c r="K111" s="118">
        <v>110</v>
      </c>
      <c r="L111" s="123" t="s">
        <v>445</v>
      </c>
      <c r="M111" s="120" t="s">
        <v>536</v>
      </c>
      <c r="N111" s="128">
        <v>22</v>
      </c>
    </row>
    <row r="112" spans="1:14" x14ac:dyDescent="0.4">
      <c r="B112" s="132" t="s">
        <v>40</v>
      </c>
      <c r="C112" s="133" t="s">
        <v>310</v>
      </c>
      <c r="D112" s="132" t="s">
        <v>1</v>
      </c>
      <c r="E112" s="132">
        <v>22</v>
      </c>
      <c r="F112" s="112" t="str">
        <f t="shared" si="1"/>
        <v>어</v>
      </c>
      <c r="K112" s="118">
        <v>111</v>
      </c>
      <c r="L112" s="119" t="s">
        <v>444</v>
      </c>
      <c r="M112" s="122" t="s">
        <v>535</v>
      </c>
      <c r="N112" s="128">
        <v>22</v>
      </c>
    </row>
    <row r="113" spans="2:14" x14ac:dyDescent="0.4">
      <c r="B113" s="132" t="s">
        <v>41</v>
      </c>
      <c r="C113" s="134" t="s">
        <v>303</v>
      </c>
      <c r="D113" s="132" t="s">
        <v>1</v>
      </c>
      <c r="E113" s="132">
        <v>43</v>
      </c>
      <c r="F113" s="112" t="str">
        <f t="shared" si="1"/>
        <v>어</v>
      </c>
      <c r="K113" s="118">
        <v>112</v>
      </c>
      <c r="L113" s="119" t="s">
        <v>260</v>
      </c>
      <c r="M113" s="122" t="s">
        <v>534</v>
      </c>
      <c r="N113" s="128">
        <v>22</v>
      </c>
    </row>
    <row r="114" spans="2:14" x14ac:dyDescent="0.4">
      <c r="B114" s="132" t="s">
        <v>42</v>
      </c>
      <c r="C114" s="134" t="s">
        <v>289</v>
      </c>
      <c r="D114" s="132" t="s">
        <v>1</v>
      </c>
      <c r="E114" s="132">
        <v>41</v>
      </c>
      <c r="F114" s="112" t="str">
        <f t="shared" si="1"/>
        <v>어</v>
      </c>
      <c r="K114" s="118">
        <v>113</v>
      </c>
      <c r="L114" s="119" t="s">
        <v>179</v>
      </c>
      <c r="M114" s="122" t="s">
        <v>535</v>
      </c>
      <c r="N114" s="128">
        <v>22</v>
      </c>
    </row>
    <row r="115" spans="2:14" x14ac:dyDescent="0.4">
      <c r="B115" s="132" t="s">
        <v>43</v>
      </c>
      <c r="C115" s="134" t="s">
        <v>299</v>
      </c>
      <c r="D115" s="132" t="s">
        <v>1</v>
      </c>
      <c r="E115" s="132">
        <v>32</v>
      </c>
      <c r="F115" s="112" t="str">
        <f t="shared" si="1"/>
        <v>어</v>
      </c>
      <c r="K115" s="118">
        <v>114</v>
      </c>
      <c r="L115" s="119" t="s">
        <v>361</v>
      </c>
      <c r="M115" s="122" t="s">
        <v>534</v>
      </c>
      <c r="N115" s="128">
        <v>22</v>
      </c>
    </row>
    <row r="116" spans="2:14" x14ac:dyDescent="0.4">
      <c r="B116" s="132" t="s">
        <v>44</v>
      </c>
      <c r="C116" s="134" t="s">
        <v>294</v>
      </c>
      <c r="D116" s="132" t="s">
        <v>1</v>
      </c>
      <c r="E116" s="132">
        <v>32</v>
      </c>
      <c r="F116" s="112" t="str">
        <f t="shared" si="1"/>
        <v>어</v>
      </c>
      <c r="K116" s="118">
        <v>115</v>
      </c>
      <c r="L116" s="119" t="s">
        <v>310</v>
      </c>
      <c r="M116" s="120" t="s">
        <v>535</v>
      </c>
      <c r="N116" s="128">
        <v>22</v>
      </c>
    </row>
    <row r="117" spans="2:14" x14ac:dyDescent="0.4">
      <c r="B117" s="132" t="s">
        <v>45</v>
      </c>
      <c r="C117" s="133" t="s">
        <v>306</v>
      </c>
      <c r="D117" s="132" t="s">
        <v>1</v>
      </c>
      <c r="E117" s="132">
        <v>12</v>
      </c>
      <c r="F117" s="112" t="str">
        <f t="shared" si="1"/>
        <v>어</v>
      </c>
      <c r="K117" s="118">
        <v>116</v>
      </c>
      <c r="L117" s="123" t="s">
        <v>248</v>
      </c>
      <c r="M117" s="122" t="s">
        <v>534</v>
      </c>
      <c r="N117" s="128">
        <v>22</v>
      </c>
    </row>
    <row r="118" spans="2:14" x14ac:dyDescent="0.4">
      <c r="B118" s="132" t="s">
        <v>46</v>
      </c>
      <c r="C118" s="133" t="s">
        <v>226</v>
      </c>
      <c r="D118" s="132" t="s">
        <v>1</v>
      </c>
      <c r="E118" s="132">
        <v>22</v>
      </c>
      <c r="F118" s="112" t="str">
        <f t="shared" si="1"/>
        <v>어</v>
      </c>
      <c r="K118" s="118">
        <v>117</v>
      </c>
      <c r="L118" s="119" t="s">
        <v>251</v>
      </c>
      <c r="M118" s="120" t="s">
        <v>535</v>
      </c>
      <c r="N118" s="128">
        <v>22</v>
      </c>
    </row>
    <row r="119" spans="2:14" x14ac:dyDescent="0.4">
      <c r="B119" s="132" t="s">
        <v>47</v>
      </c>
      <c r="C119" s="134" t="s">
        <v>257</v>
      </c>
      <c r="D119" s="132" t="s">
        <v>1</v>
      </c>
      <c r="E119" s="132">
        <v>11</v>
      </c>
      <c r="F119" s="112" t="str">
        <f t="shared" si="1"/>
        <v>어</v>
      </c>
      <c r="K119" s="118">
        <v>118</v>
      </c>
      <c r="L119" s="119" t="s">
        <v>226</v>
      </c>
      <c r="M119" s="122" t="s">
        <v>535</v>
      </c>
      <c r="N119" s="128">
        <v>22</v>
      </c>
    </row>
    <row r="120" spans="2:14" x14ac:dyDescent="0.4">
      <c r="B120" s="132" t="s">
        <v>48</v>
      </c>
      <c r="C120" s="133" t="s">
        <v>291</v>
      </c>
      <c r="D120" s="132" t="s">
        <v>1</v>
      </c>
      <c r="E120" s="132">
        <v>42</v>
      </c>
      <c r="F120" s="112" t="str">
        <f t="shared" si="1"/>
        <v>어</v>
      </c>
      <c r="K120" s="118">
        <v>119</v>
      </c>
      <c r="L120" s="123" t="s">
        <v>132</v>
      </c>
      <c r="M120" s="122" t="s">
        <v>458</v>
      </c>
      <c r="N120" s="128">
        <v>22</v>
      </c>
    </row>
    <row r="121" spans="2:14" x14ac:dyDescent="0.4">
      <c r="B121" s="132" t="s">
        <v>49</v>
      </c>
      <c r="C121" s="133" t="s">
        <v>538</v>
      </c>
      <c r="D121" s="132" t="s">
        <v>1</v>
      </c>
      <c r="E121" s="132">
        <v>21</v>
      </c>
      <c r="F121" s="112" t="str">
        <f t="shared" si="1"/>
        <v>어</v>
      </c>
      <c r="K121" s="118">
        <v>120</v>
      </c>
      <c r="L121" s="123" t="s">
        <v>250</v>
      </c>
      <c r="M121" s="122" t="s">
        <v>458</v>
      </c>
      <c r="N121" s="128">
        <v>22</v>
      </c>
    </row>
    <row r="122" spans="2:14" x14ac:dyDescent="0.4">
      <c r="B122" s="132" t="s">
        <v>50</v>
      </c>
      <c r="C122" s="133" t="s">
        <v>190</v>
      </c>
      <c r="D122" s="132" t="s">
        <v>1</v>
      </c>
      <c r="E122" s="132">
        <v>43</v>
      </c>
      <c r="F122" s="112" t="str">
        <f t="shared" si="1"/>
        <v>어</v>
      </c>
      <c r="K122" s="118">
        <v>121</v>
      </c>
      <c r="L122" s="119" t="s">
        <v>549</v>
      </c>
      <c r="M122" s="122" t="s">
        <v>458</v>
      </c>
      <c r="N122" s="128">
        <v>22</v>
      </c>
    </row>
    <row r="123" spans="2:14" x14ac:dyDescent="0.4">
      <c r="B123" s="132" t="s">
        <v>51</v>
      </c>
      <c r="C123" s="133" t="s">
        <v>281</v>
      </c>
      <c r="D123" s="132" t="s">
        <v>1</v>
      </c>
      <c r="E123" s="132">
        <v>21</v>
      </c>
      <c r="F123" s="112" t="str">
        <f t="shared" si="1"/>
        <v>어</v>
      </c>
      <c r="K123" s="118">
        <v>122</v>
      </c>
      <c r="L123" s="119" t="s">
        <v>130</v>
      </c>
      <c r="M123" s="122" t="s">
        <v>458</v>
      </c>
      <c r="N123" s="128">
        <v>22</v>
      </c>
    </row>
    <row r="124" spans="2:14" x14ac:dyDescent="0.4">
      <c r="B124" s="132" t="s">
        <v>52</v>
      </c>
      <c r="C124" s="133" t="s">
        <v>312</v>
      </c>
      <c r="D124" s="132" t="s">
        <v>1</v>
      </c>
      <c r="E124" s="132">
        <v>31</v>
      </c>
      <c r="F124" s="112" t="str">
        <f t="shared" si="1"/>
        <v>어</v>
      </c>
      <c r="K124" s="118">
        <v>123</v>
      </c>
      <c r="L124" s="119" t="s">
        <v>360</v>
      </c>
      <c r="M124" s="120" t="s">
        <v>534</v>
      </c>
      <c r="N124" s="128">
        <v>31</v>
      </c>
    </row>
    <row r="125" spans="2:14" x14ac:dyDescent="0.4">
      <c r="B125" s="132" t="s">
        <v>53</v>
      </c>
      <c r="C125" s="133" t="s">
        <v>287</v>
      </c>
      <c r="D125" s="132" t="s">
        <v>1</v>
      </c>
      <c r="E125" s="132">
        <v>21</v>
      </c>
      <c r="F125" s="112" t="str">
        <f t="shared" si="1"/>
        <v>어</v>
      </c>
      <c r="K125" s="118">
        <v>124</v>
      </c>
      <c r="L125" s="123" t="s">
        <v>308</v>
      </c>
      <c r="M125" s="122" t="s">
        <v>535</v>
      </c>
      <c r="N125" s="128">
        <v>31</v>
      </c>
    </row>
    <row r="126" spans="2:14" x14ac:dyDescent="0.4">
      <c r="B126" s="132" t="s">
        <v>54</v>
      </c>
      <c r="C126" s="134" t="s">
        <v>305</v>
      </c>
      <c r="D126" s="132" t="s">
        <v>1</v>
      </c>
      <c r="E126" s="132">
        <v>32</v>
      </c>
      <c r="F126" s="112" t="str">
        <f t="shared" si="1"/>
        <v>어</v>
      </c>
      <c r="K126" s="118">
        <v>125</v>
      </c>
      <c r="L126" s="119" t="s">
        <v>342</v>
      </c>
      <c r="M126" s="122" t="s">
        <v>534</v>
      </c>
      <c r="N126" s="128">
        <v>31</v>
      </c>
    </row>
    <row r="127" spans="2:14" x14ac:dyDescent="0.4">
      <c r="B127" s="132" t="s">
        <v>55</v>
      </c>
      <c r="C127" s="134" t="s">
        <v>194</v>
      </c>
      <c r="D127" s="132" t="s">
        <v>1</v>
      </c>
      <c r="E127" s="132">
        <v>41</v>
      </c>
      <c r="F127" s="112" t="str">
        <f t="shared" si="1"/>
        <v>어</v>
      </c>
      <c r="K127" s="118">
        <v>126</v>
      </c>
      <c r="L127" s="119" t="s">
        <v>286</v>
      </c>
      <c r="M127" s="122" t="s">
        <v>535</v>
      </c>
      <c r="N127" s="128">
        <v>31</v>
      </c>
    </row>
    <row r="128" spans="2:14" x14ac:dyDescent="0.4">
      <c r="B128" s="132" t="s">
        <v>56</v>
      </c>
      <c r="C128" s="133" t="s">
        <v>304</v>
      </c>
      <c r="D128" s="132" t="s">
        <v>1</v>
      </c>
      <c r="E128" s="132">
        <v>32</v>
      </c>
      <c r="F128" s="112" t="str">
        <f t="shared" si="1"/>
        <v>어</v>
      </c>
      <c r="K128" s="118">
        <v>127</v>
      </c>
      <c r="L128" s="123" t="s">
        <v>246</v>
      </c>
      <c r="M128" s="122" t="s">
        <v>534</v>
      </c>
      <c r="N128" s="128">
        <v>31</v>
      </c>
    </row>
    <row r="129" spans="1:14" x14ac:dyDescent="0.4">
      <c r="B129" s="132" t="s">
        <v>57</v>
      </c>
      <c r="C129" s="133" t="s">
        <v>284</v>
      </c>
      <c r="D129" s="132" t="s">
        <v>1</v>
      </c>
      <c r="E129" s="132">
        <v>42</v>
      </c>
      <c r="F129" s="112" t="str">
        <f t="shared" si="1"/>
        <v>어</v>
      </c>
      <c r="K129" s="118">
        <v>128</v>
      </c>
      <c r="L129" s="119" t="s">
        <v>136</v>
      </c>
      <c r="M129" s="122" t="s">
        <v>535</v>
      </c>
      <c r="N129" s="128">
        <v>31</v>
      </c>
    </row>
    <row r="130" spans="1:14" x14ac:dyDescent="0.4">
      <c r="B130" s="132" t="s">
        <v>58</v>
      </c>
      <c r="C130" s="133" t="s">
        <v>311</v>
      </c>
      <c r="D130" s="132" t="s">
        <v>1</v>
      </c>
      <c r="E130" s="132">
        <v>32</v>
      </c>
      <c r="F130" s="112" t="str">
        <f t="shared" si="1"/>
        <v>어</v>
      </c>
      <c r="K130" s="118">
        <v>129</v>
      </c>
      <c r="L130" s="119" t="s">
        <v>363</v>
      </c>
      <c r="M130" s="120" t="s">
        <v>534</v>
      </c>
      <c r="N130" s="128">
        <v>31</v>
      </c>
    </row>
    <row r="131" spans="1:14" x14ac:dyDescent="0.4">
      <c r="B131" s="132" t="s">
        <v>59</v>
      </c>
      <c r="C131" s="134" t="s">
        <v>244</v>
      </c>
      <c r="D131" s="132" t="s">
        <v>1</v>
      </c>
      <c r="E131" s="132">
        <v>41</v>
      </c>
      <c r="F131" s="112" t="str">
        <f t="shared" ref="F131:F194" si="2">VLOOKUP(C131,L:N,2,0)</f>
        <v>어</v>
      </c>
      <c r="K131" s="118">
        <v>130</v>
      </c>
      <c r="L131" s="125" t="s">
        <v>312</v>
      </c>
      <c r="M131" s="126" t="s">
        <v>535</v>
      </c>
      <c r="N131" s="128">
        <v>31</v>
      </c>
    </row>
    <row r="132" spans="1:14" x14ac:dyDescent="0.4">
      <c r="B132" s="132" t="s">
        <v>60</v>
      </c>
      <c r="C132" s="134" t="s">
        <v>302</v>
      </c>
      <c r="D132" s="132" t="s">
        <v>1</v>
      </c>
      <c r="E132" s="132">
        <v>22</v>
      </c>
      <c r="F132" s="112" t="str">
        <f t="shared" si="2"/>
        <v>어</v>
      </c>
      <c r="K132" s="118">
        <v>131</v>
      </c>
      <c r="L132" s="119" t="s">
        <v>542</v>
      </c>
      <c r="M132" s="120" t="s">
        <v>458</v>
      </c>
      <c r="N132" s="128">
        <v>31</v>
      </c>
    </row>
    <row r="133" spans="1:14" x14ac:dyDescent="0.4">
      <c r="A133" s="110" t="s">
        <v>601</v>
      </c>
      <c r="B133" s="132" t="s">
        <v>61</v>
      </c>
      <c r="C133" s="133" t="s">
        <v>609</v>
      </c>
      <c r="D133" s="132" t="s">
        <v>1</v>
      </c>
      <c r="E133" s="132">
        <v>33</v>
      </c>
      <c r="F133" s="112" t="str">
        <f t="shared" si="2"/>
        <v>어</v>
      </c>
      <c r="K133" s="118">
        <v>132</v>
      </c>
      <c r="L133" s="119" t="s">
        <v>516</v>
      </c>
      <c r="M133" s="122" t="s">
        <v>534</v>
      </c>
      <c r="N133" s="128">
        <v>31</v>
      </c>
    </row>
    <row r="134" spans="1:14" x14ac:dyDescent="0.4">
      <c r="B134" s="132" t="s">
        <v>62</v>
      </c>
      <c r="C134" s="133" t="s">
        <v>295</v>
      </c>
      <c r="D134" s="132" t="s">
        <v>1</v>
      </c>
      <c r="E134" s="132">
        <v>42</v>
      </c>
      <c r="F134" s="112" t="str">
        <f t="shared" si="2"/>
        <v>어</v>
      </c>
      <c r="K134" s="118">
        <v>133</v>
      </c>
      <c r="L134" s="119" t="s">
        <v>497</v>
      </c>
      <c r="M134" s="122" t="s">
        <v>535</v>
      </c>
      <c r="N134" s="128">
        <v>31</v>
      </c>
    </row>
    <row r="135" spans="1:14" x14ac:dyDescent="0.4">
      <c r="B135" s="132" t="s">
        <v>63</v>
      </c>
      <c r="C135" s="133" t="s">
        <v>307</v>
      </c>
      <c r="D135" s="132" t="s">
        <v>1</v>
      </c>
      <c r="E135" s="132">
        <v>11</v>
      </c>
      <c r="F135" s="112" t="str">
        <f t="shared" si="2"/>
        <v>어</v>
      </c>
      <c r="K135" s="118">
        <v>134</v>
      </c>
      <c r="L135" s="119" t="s">
        <v>543</v>
      </c>
      <c r="M135" s="122" t="s">
        <v>458</v>
      </c>
      <c r="N135" s="128">
        <v>31</v>
      </c>
    </row>
    <row r="136" spans="1:14" x14ac:dyDescent="0.4">
      <c r="A136" s="110" t="s">
        <v>601</v>
      </c>
      <c r="B136" s="132" t="s">
        <v>64</v>
      </c>
      <c r="C136" s="134" t="s">
        <v>604</v>
      </c>
      <c r="D136" s="132" t="s">
        <v>1</v>
      </c>
      <c r="E136" s="132">
        <v>21</v>
      </c>
      <c r="F136" s="112" t="str">
        <f t="shared" si="2"/>
        <v>어</v>
      </c>
      <c r="K136" s="118">
        <v>135</v>
      </c>
      <c r="L136" s="123" t="s">
        <v>524</v>
      </c>
      <c r="M136" s="120" t="s">
        <v>536</v>
      </c>
      <c r="N136" s="128">
        <v>31</v>
      </c>
    </row>
    <row r="137" spans="1:14" x14ac:dyDescent="0.4">
      <c r="B137" s="132" t="s">
        <v>65</v>
      </c>
      <c r="C137" s="133" t="s">
        <v>264</v>
      </c>
      <c r="D137" s="132" t="s">
        <v>1</v>
      </c>
      <c r="E137" s="132">
        <v>32</v>
      </c>
      <c r="F137" s="112" t="str">
        <f t="shared" si="2"/>
        <v>어</v>
      </c>
      <c r="K137" s="118">
        <v>136</v>
      </c>
      <c r="L137" s="119" t="s">
        <v>526</v>
      </c>
      <c r="M137" s="122" t="s">
        <v>535</v>
      </c>
      <c r="N137" s="128">
        <v>31</v>
      </c>
    </row>
    <row r="138" spans="1:14" x14ac:dyDescent="0.4">
      <c r="B138" s="132" t="s">
        <v>66</v>
      </c>
      <c r="C138" s="133" t="s">
        <v>279</v>
      </c>
      <c r="D138" s="132" t="s">
        <v>1</v>
      </c>
      <c r="E138" s="132">
        <v>11</v>
      </c>
      <c r="F138" s="112" t="str">
        <f t="shared" si="2"/>
        <v>어</v>
      </c>
      <c r="K138" s="118">
        <v>137</v>
      </c>
      <c r="L138" s="119" t="s">
        <v>254</v>
      </c>
      <c r="M138" s="122" t="s">
        <v>536</v>
      </c>
      <c r="N138" s="128">
        <v>31</v>
      </c>
    </row>
    <row r="139" spans="1:14" x14ac:dyDescent="0.4">
      <c r="B139" s="132" t="s">
        <v>67</v>
      </c>
      <c r="C139" s="133" t="s">
        <v>300</v>
      </c>
      <c r="D139" s="132" t="s">
        <v>1</v>
      </c>
      <c r="E139" s="132">
        <v>21</v>
      </c>
      <c r="F139" s="112" t="str">
        <f t="shared" si="2"/>
        <v>어</v>
      </c>
      <c r="K139" s="118">
        <v>138</v>
      </c>
      <c r="L139" s="123" t="s">
        <v>258</v>
      </c>
      <c r="M139" s="122" t="s">
        <v>535</v>
      </c>
      <c r="N139" s="128">
        <v>31</v>
      </c>
    </row>
    <row r="140" spans="1:14" x14ac:dyDescent="0.4">
      <c r="B140" s="132" t="s">
        <v>68</v>
      </c>
      <c r="C140" s="133" t="s">
        <v>290</v>
      </c>
      <c r="D140" s="132" t="s">
        <v>1</v>
      </c>
      <c r="E140" s="132">
        <v>22</v>
      </c>
      <c r="F140" s="112" t="str">
        <f t="shared" si="2"/>
        <v>어</v>
      </c>
      <c r="K140" s="118">
        <v>139</v>
      </c>
      <c r="L140" s="119" t="s">
        <v>550</v>
      </c>
      <c r="M140" s="122" t="s">
        <v>534</v>
      </c>
      <c r="N140" s="128">
        <v>31</v>
      </c>
    </row>
    <row r="141" spans="1:14" x14ac:dyDescent="0.4">
      <c r="B141" s="132" t="s">
        <v>69</v>
      </c>
      <c r="C141" s="133" t="s">
        <v>314</v>
      </c>
      <c r="D141" s="132" t="s">
        <v>1</v>
      </c>
      <c r="E141" s="132">
        <v>22</v>
      </c>
      <c r="F141" s="112" t="str">
        <f t="shared" si="2"/>
        <v>어</v>
      </c>
      <c r="K141" s="118">
        <v>140</v>
      </c>
      <c r="L141" s="119" t="s">
        <v>551</v>
      </c>
      <c r="M141" s="122" t="s">
        <v>535</v>
      </c>
      <c r="N141" s="128">
        <v>31</v>
      </c>
    </row>
    <row r="142" spans="1:14" x14ac:dyDescent="0.4">
      <c r="B142" s="132" t="s">
        <v>70</v>
      </c>
      <c r="C142" s="133" t="s">
        <v>137</v>
      </c>
      <c r="D142" s="132" t="s">
        <v>1</v>
      </c>
      <c r="E142" s="132">
        <v>12</v>
      </c>
      <c r="F142" s="112" t="str">
        <f t="shared" si="2"/>
        <v>어</v>
      </c>
      <c r="K142" s="118">
        <v>141</v>
      </c>
      <c r="L142" s="123" t="s">
        <v>525</v>
      </c>
      <c r="M142" s="120" t="s">
        <v>534</v>
      </c>
      <c r="N142" s="128">
        <v>31</v>
      </c>
    </row>
    <row r="143" spans="1:14" x14ac:dyDescent="0.4">
      <c r="B143" s="132" t="s">
        <v>71</v>
      </c>
      <c r="C143" s="133" t="s">
        <v>280</v>
      </c>
      <c r="D143" s="132" t="s">
        <v>1</v>
      </c>
      <c r="E143" s="132">
        <v>21</v>
      </c>
      <c r="F143" s="112" t="str">
        <f t="shared" si="2"/>
        <v>어</v>
      </c>
      <c r="K143" s="118">
        <v>142</v>
      </c>
      <c r="L143" s="119" t="s">
        <v>514</v>
      </c>
      <c r="M143" s="122" t="s">
        <v>534</v>
      </c>
      <c r="N143" s="128">
        <v>31</v>
      </c>
    </row>
    <row r="144" spans="1:14" x14ac:dyDescent="0.4">
      <c r="B144" s="132" t="s">
        <v>72</v>
      </c>
      <c r="C144" s="133" t="s">
        <v>220</v>
      </c>
      <c r="D144" s="132" t="s">
        <v>1</v>
      </c>
      <c r="E144" s="132">
        <v>42</v>
      </c>
      <c r="F144" s="112" t="str">
        <f t="shared" si="2"/>
        <v>어</v>
      </c>
      <c r="K144" s="118">
        <v>143</v>
      </c>
      <c r="L144" s="119" t="s">
        <v>521</v>
      </c>
      <c r="M144" s="122" t="s">
        <v>534</v>
      </c>
      <c r="N144" s="128">
        <v>31</v>
      </c>
    </row>
    <row r="145" spans="2:14" x14ac:dyDescent="0.4">
      <c r="B145" s="132" t="s">
        <v>73</v>
      </c>
      <c r="C145" s="133" t="s">
        <v>138</v>
      </c>
      <c r="D145" s="132" t="s">
        <v>1</v>
      </c>
      <c r="E145" s="132">
        <v>43</v>
      </c>
      <c r="F145" s="112" t="str">
        <f t="shared" si="2"/>
        <v>어</v>
      </c>
      <c r="K145" s="118">
        <v>144</v>
      </c>
      <c r="L145" s="119" t="s">
        <v>262</v>
      </c>
      <c r="M145" s="122" t="s">
        <v>534</v>
      </c>
      <c r="N145" s="128">
        <v>31</v>
      </c>
    </row>
    <row r="146" spans="2:14" x14ac:dyDescent="0.4">
      <c r="B146" s="132" t="s">
        <v>74</v>
      </c>
      <c r="C146" s="134" t="s">
        <v>146</v>
      </c>
      <c r="D146" s="132" t="s">
        <v>1</v>
      </c>
      <c r="E146" s="132">
        <v>11</v>
      </c>
      <c r="F146" s="112" t="str">
        <f t="shared" si="2"/>
        <v>어</v>
      </c>
      <c r="K146" s="118">
        <v>145</v>
      </c>
      <c r="L146" s="119" t="s">
        <v>309</v>
      </c>
      <c r="M146" s="122" t="s">
        <v>535</v>
      </c>
      <c r="N146" s="128">
        <v>31</v>
      </c>
    </row>
    <row r="147" spans="2:14" x14ac:dyDescent="0.4">
      <c r="B147" s="132" t="s">
        <v>75</v>
      </c>
      <c r="C147" s="133" t="s">
        <v>286</v>
      </c>
      <c r="D147" s="132" t="s">
        <v>1</v>
      </c>
      <c r="E147" s="132">
        <v>31</v>
      </c>
      <c r="F147" s="112" t="str">
        <f t="shared" si="2"/>
        <v>어</v>
      </c>
      <c r="K147" s="118">
        <v>146</v>
      </c>
      <c r="L147" s="119" t="s">
        <v>472</v>
      </c>
      <c r="M147" s="120" t="s">
        <v>458</v>
      </c>
      <c r="N147" s="128">
        <v>31</v>
      </c>
    </row>
    <row r="148" spans="2:14" x14ac:dyDescent="0.4">
      <c r="B148" s="132" t="s">
        <v>76</v>
      </c>
      <c r="C148" s="133" t="s">
        <v>309</v>
      </c>
      <c r="D148" s="132" t="s">
        <v>1</v>
      </c>
      <c r="E148" s="132">
        <v>31</v>
      </c>
      <c r="F148" s="112" t="str">
        <f t="shared" si="2"/>
        <v>어</v>
      </c>
      <c r="K148" s="118">
        <v>147</v>
      </c>
      <c r="L148" s="123" t="s">
        <v>467</v>
      </c>
      <c r="M148" s="122" t="s">
        <v>458</v>
      </c>
      <c r="N148" s="128">
        <v>31</v>
      </c>
    </row>
    <row r="149" spans="2:14" x14ac:dyDescent="0.4">
      <c r="B149" s="132" t="s">
        <v>77</v>
      </c>
      <c r="C149" s="133" t="s">
        <v>136</v>
      </c>
      <c r="D149" s="132" t="s">
        <v>1</v>
      </c>
      <c r="E149" s="132">
        <v>31</v>
      </c>
      <c r="F149" s="112" t="str">
        <f t="shared" si="2"/>
        <v>어</v>
      </c>
      <c r="K149" s="118">
        <v>148</v>
      </c>
      <c r="L149" s="119" t="s">
        <v>610</v>
      </c>
      <c r="M149" s="120" t="s">
        <v>458</v>
      </c>
      <c r="N149" s="128">
        <v>31</v>
      </c>
    </row>
    <row r="150" spans="2:14" x14ac:dyDescent="0.4">
      <c r="B150" s="132" t="s">
        <v>78</v>
      </c>
      <c r="C150" s="134" t="s">
        <v>189</v>
      </c>
      <c r="D150" s="132" t="s">
        <v>1</v>
      </c>
      <c r="E150" s="132">
        <v>11</v>
      </c>
      <c r="F150" s="112" t="str">
        <f t="shared" si="2"/>
        <v>어</v>
      </c>
      <c r="K150" s="118">
        <v>149</v>
      </c>
      <c r="L150" s="119" t="s">
        <v>139</v>
      </c>
      <c r="M150" s="122" t="s">
        <v>536</v>
      </c>
      <c r="N150" s="128">
        <v>31</v>
      </c>
    </row>
    <row r="151" spans="2:14" x14ac:dyDescent="0.4">
      <c r="B151" s="132" t="s">
        <v>79</v>
      </c>
      <c r="C151" s="134" t="s">
        <v>175</v>
      </c>
      <c r="D151" s="132" t="s">
        <v>1</v>
      </c>
      <c r="E151" s="132">
        <v>21</v>
      </c>
      <c r="F151" s="112" t="str">
        <f t="shared" si="2"/>
        <v>어</v>
      </c>
      <c r="K151" s="118">
        <v>150</v>
      </c>
      <c r="L151" s="119" t="s">
        <v>181</v>
      </c>
      <c r="M151" s="122" t="s">
        <v>536</v>
      </c>
      <c r="N151" s="128">
        <v>31</v>
      </c>
    </row>
    <row r="152" spans="2:14" x14ac:dyDescent="0.4">
      <c r="B152" s="132" t="s">
        <v>80</v>
      </c>
      <c r="C152" s="134" t="s">
        <v>292</v>
      </c>
      <c r="D152" s="132" t="s">
        <v>1</v>
      </c>
      <c r="E152" s="132">
        <v>43</v>
      </c>
      <c r="F152" s="112" t="str">
        <f t="shared" si="2"/>
        <v>어</v>
      </c>
      <c r="K152" s="118">
        <v>151</v>
      </c>
      <c r="L152" s="123" t="s">
        <v>438</v>
      </c>
      <c r="M152" s="122" t="s">
        <v>536</v>
      </c>
      <c r="N152" s="128">
        <v>31</v>
      </c>
    </row>
    <row r="153" spans="2:14" x14ac:dyDescent="0.4">
      <c r="B153" s="132" t="s">
        <v>81</v>
      </c>
      <c r="C153" s="134" t="s">
        <v>313</v>
      </c>
      <c r="D153" s="132" t="s">
        <v>1</v>
      </c>
      <c r="E153" s="132">
        <v>12</v>
      </c>
      <c r="F153" s="112" t="str">
        <f t="shared" si="2"/>
        <v>어</v>
      </c>
      <c r="K153" s="118">
        <v>152</v>
      </c>
      <c r="L153" s="123" t="s">
        <v>191</v>
      </c>
      <c r="M153" s="122" t="s">
        <v>536</v>
      </c>
      <c r="N153" s="128">
        <v>31</v>
      </c>
    </row>
    <row r="154" spans="2:14" x14ac:dyDescent="0.4">
      <c r="B154" s="132" t="s">
        <v>82</v>
      </c>
      <c r="C154" s="136" t="s">
        <v>285</v>
      </c>
      <c r="D154" s="132" t="s">
        <v>1</v>
      </c>
      <c r="E154" s="132">
        <v>11</v>
      </c>
      <c r="F154" s="112" t="str">
        <f t="shared" si="2"/>
        <v>어</v>
      </c>
      <c r="K154" s="118">
        <v>153</v>
      </c>
      <c r="L154" s="119" t="s">
        <v>510</v>
      </c>
      <c r="M154" s="122" t="s">
        <v>536</v>
      </c>
      <c r="N154" s="128">
        <v>31</v>
      </c>
    </row>
    <row r="155" spans="2:14" x14ac:dyDescent="0.4">
      <c r="B155" s="132" t="s">
        <v>83</v>
      </c>
      <c r="C155" s="134" t="s">
        <v>560</v>
      </c>
      <c r="D155" s="132" t="s">
        <v>1</v>
      </c>
      <c r="E155" s="132">
        <v>41</v>
      </c>
      <c r="F155" s="112" t="str">
        <f t="shared" si="2"/>
        <v>어</v>
      </c>
      <c r="K155" s="118">
        <v>154</v>
      </c>
      <c r="L155" s="119" t="s">
        <v>529</v>
      </c>
      <c r="M155" s="122" t="s">
        <v>535</v>
      </c>
      <c r="N155" s="128">
        <v>31</v>
      </c>
    </row>
    <row r="156" spans="2:14" x14ac:dyDescent="0.4">
      <c r="B156" s="132" t="s">
        <v>84</v>
      </c>
      <c r="C156" s="134" t="s">
        <v>298</v>
      </c>
      <c r="D156" s="132" t="s">
        <v>1</v>
      </c>
      <c r="E156" s="132">
        <v>11</v>
      </c>
      <c r="F156" s="112" t="str">
        <f t="shared" si="2"/>
        <v>어</v>
      </c>
      <c r="K156" s="118">
        <v>155</v>
      </c>
      <c r="L156" s="119" t="s">
        <v>186</v>
      </c>
      <c r="M156" s="120" t="s">
        <v>458</v>
      </c>
      <c r="N156" s="128">
        <v>31</v>
      </c>
    </row>
    <row r="157" spans="2:14" x14ac:dyDescent="0.4">
      <c r="B157" s="132" t="s">
        <v>85</v>
      </c>
      <c r="C157" s="134" t="s">
        <v>470</v>
      </c>
      <c r="D157" s="132" t="s">
        <v>1</v>
      </c>
      <c r="E157" s="132">
        <v>43</v>
      </c>
      <c r="F157" s="112" t="str">
        <f t="shared" si="2"/>
        <v>어</v>
      </c>
      <c r="K157" s="118">
        <v>156</v>
      </c>
      <c r="L157" s="123" t="s">
        <v>471</v>
      </c>
      <c r="M157" s="122" t="s">
        <v>458</v>
      </c>
      <c r="N157" s="128">
        <v>31</v>
      </c>
    </row>
    <row r="158" spans="2:14" x14ac:dyDescent="0.4">
      <c r="B158" s="132" t="s">
        <v>86</v>
      </c>
      <c r="C158" s="134" t="s">
        <v>258</v>
      </c>
      <c r="D158" s="132" t="s">
        <v>1</v>
      </c>
      <c r="E158" s="132">
        <v>31</v>
      </c>
      <c r="F158" s="112" t="str">
        <f t="shared" si="2"/>
        <v>어</v>
      </c>
      <c r="K158" s="118">
        <v>157</v>
      </c>
      <c r="L158" s="119" t="s">
        <v>544</v>
      </c>
      <c r="M158" s="122" t="s">
        <v>458</v>
      </c>
      <c r="N158" s="128">
        <v>31</v>
      </c>
    </row>
    <row r="159" spans="2:14" x14ac:dyDescent="0.4">
      <c r="B159" s="132" t="s">
        <v>195</v>
      </c>
      <c r="C159" s="134" t="s">
        <v>444</v>
      </c>
      <c r="D159" s="132" t="s">
        <v>1</v>
      </c>
      <c r="E159" s="132">
        <v>22</v>
      </c>
      <c r="F159" s="112" t="str">
        <f t="shared" si="2"/>
        <v>어</v>
      </c>
      <c r="K159" s="118">
        <v>158</v>
      </c>
      <c r="L159" s="119" t="s">
        <v>353</v>
      </c>
      <c r="M159" s="122" t="s">
        <v>534</v>
      </c>
      <c r="N159" s="128">
        <v>32</v>
      </c>
    </row>
    <row r="160" spans="2:14" x14ac:dyDescent="0.4">
      <c r="B160" s="132" t="s">
        <v>319</v>
      </c>
      <c r="C160" s="134" t="s">
        <v>297</v>
      </c>
      <c r="D160" s="132" t="s">
        <v>1</v>
      </c>
      <c r="E160" s="132">
        <v>22</v>
      </c>
      <c r="F160" s="112" t="str">
        <f t="shared" si="2"/>
        <v>어</v>
      </c>
      <c r="K160" s="118">
        <v>159</v>
      </c>
      <c r="L160" s="123" t="s">
        <v>299</v>
      </c>
      <c r="M160" s="122" t="s">
        <v>535</v>
      </c>
      <c r="N160" s="128">
        <v>32</v>
      </c>
    </row>
    <row r="161" spans="1:14" x14ac:dyDescent="0.4">
      <c r="B161" s="132" t="s">
        <v>320</v>
      </c>
      <c r="C161" s="134" t="s">
        <v>301</v>
      </c>
      <c r="D161" s="132" t="s">
        <v>1</v>
      </c>
      <c r="E161" s="132">
        <v>43</v>
      </c>
      <c r="F161" s="112" t="str">
        <f t="shared" si="2"/>
        <v>어</v>
      </c>
      <c r="K161" s="118">
        <v>160</v>
      </c>
      <c r="L161" s="119" t="s">
        <v>468</v>
      </c>
      <c r="M161" s="122" t="s">
        <v>458</v>
      </c>
      <c r="N161" s="128">
        <v>32</v>
      </c>
    </row>
    <row r="162" spans="1:14" x14ac:dyDescent="0.4">
      <c r="B162" s="132" t="s">
        <v>321</v>
      </c>
      <c r="C162" s="137" t="s">
        <v>519</v>
      </c>
      <c r="D162" s="132" t="s">
        <v>1</v>
      </c>
      <c r="E162" s="132">
        <v>41</v>
      </c>
      <c r="F162" s="112" t="str">
        <f t="shared" si="2"/>
        <v>어</v>
      </c>
      <c r="K162" s="118">
        <v>161</v>
      </c>
      <c r="L162" s="119" t="s">
        <v>357</v>
      </c>
      <c r="M162" s="120" t="s">
        <v>534</v>
      </c>
      <c r="N162" s="128">
        <v>32</v>
      </c>
    </row>
    <row r="163" spans="1:14" x14ac:dyDescent="0.4">
      <c r="B163" s="132" t="s">
        <v>322</v>
      </c>
      <c r="C163" s="134" t="s">
        <v>265</v>
      </c>
      <c r="D163" s="132" t="s">
        <v>1</v>
      </c>
      <c r="E163" s="132">
        <v>32</v>
      </c>
      <c r="F163" s="112" t="str">
        <f t="shared" si="2"/>
        <v>어</v>
      </c>
      <c r="K163" s="118">
        <v>162</v>
      </c>
      <c r="L163" s="119" t="s">
        <v>305</v>
      </c>
      <c r="M163" s="122" t="s">
        <v>535</v>
      </c>
      <c r="N163" s="128">
        <v>32</v>
      </c>
    </row>
    <row r="164" spans="1:14" x14ac:dyDescent="0.4">
      <c r="B164" s="132" t="s">
        <v>323</v>
      </c>
      <c r="C164" s="137" t="s">
        <v>565</v>
      </c>
      <c r="D164" s="132" t="s">
        <v>1</v>
      </c>
      <c r="E164" s="132">
        <v>43</v>
      </c>
      <c r="F164" s="112" t="str">
        <f t="shared" si="2"/>
        <v>어</v>
      </c>
      <c r="K164" s="118">
        <v>163</v>
      </c>
      <c r="L164" s="125" t="s">
        <v>512</v>
      </c>
      <c r="M164" s="126" t="s">
        <v>534</v>
      </c>
      <c r="N164" s="128">
        <v>32</v>
      </c>
    </row>
    <row r="165" spans="1:14" x14ac:dyDescent="0.4">
      <c r="B165" s="132" t="s">
        <v>324</v>
      </c>
      <c r="C165" s="134" t="s">
        <v>227</v>
      </c>
      <c r="D165" s="132" t="s">
        <v>1</v>
      </c>
      <c r="E165" s="132">
        <v>41</v>
      </c>
      <c r="F165" s="112" t="str">
        <f t="shared" si="2"/>
        <v>어</v>
      </c>
      <c r="K165" s="118">
        <v>164</v>
      </c>
      <c r="L165" s="125" t="s">
        <v>294</v>
      </c>
      <c r="M165" s="126" t="s">
        <v>535</v>
      </c>
      <c r="N165" s="128">
        <v>32</v>
      </c>
    </row>
    <row r="166" spans="1:14" x14ac:dyDescent="0.4">
      <c r="B166" s="132" t="s">
        <v>325</v>
      </c>
      <c r="C166" s="137" t="s">
        <v>317</v>
      </c>
      <c r="D166" s="132" t="s">
        <v>1</v>
      </c>
      <c r="E166" s="132">
        <v>11</v>
      </c>
      <c r="F166" s="112" t="str">
        <f t="shared" si="2"/>
        <v>어</v>
      </c>
      <c r="K166" s="118">
        <v>165</v>
      </c>
      <c r="L166" s="125" t="s">
        <v>362</v>
      </c>
      <c r="M166" s="126" t="s">
        <v>534</v>
      </c>
      <c r="N166" s="128">
        <v>32</v>
      </c>
    </row>
    <row r="167" spans="1:14" x14ac:dyDescent="0.4">
      <c r="A167" s="110" t="s">
        <v>601</v>
      </c>
      <c r="B167" s="132" t="s">
        <v>326</v>
      </c>
      <c r="C167" s="134" t="s">
        <v>607</v>
      </c>
      <c r="D167" s="132" t="s">
        <v>1</v>
      </c>
      <c r="E167" s="132">
        <v>21</v>
      </c>
      <c r="F167" s="112" t="str">
        <f t="shared" si="2"/>
        <v>어</v>
      </c>
      <c r="K167" s="118">
        <v>166</v>
      </c>
      <c r="L167" s="125" t="s">
        <v>311</v>
      </c>
      <c r="M167" s="126" t="s">
        <v>535</v>
      </c>
      <c r="N167" s="128">
        <v>32</v>
      </c>
    </row>
    <row r="168" spans="1:14" x14ac:dyDescent="0.4">
      <c r="B168" s="132" t="s">
        <v>327</v>
      </c>
      <c r="C168" s="134" t="s">
        <v>221</v>
      </c>
      <c r="D168" s="132" t="s">
        <v>1</v>
      </c>
      <c r="E168" s="132">
        <v>43</v>
      </c>
      <c r="F168" s="112" t="str">
        <f t="shared" si="2"/>
        <v>어</v>
      </c>
      <c r="K168" s="118">
        <v>167</v>
      </c>
      <c r="L168" s="125" t="s">
        <v>304</v>
      </c>
      <c r="M168" s="126" t="s">
        <v>535</v>
      </c>
      <c r="N168" s="128">
        <v>32</v>
      </c>
    </row>
    <row r="169" spans="1:14" x14ac:dyDescent="0.4">
      <c r="B169" s="132" t="s">
        <v>328</v>
      </c>
      <c r="C169" s="136" t="s">
        <v>315</v>
      </c>
      <c r="D169" s="132" t="s">
        <v>1</v>
      </c>
      <c r="E169" s="132">
        <v>33</v>
      </c>
      <c r="F169" s="112" t="str">
        <f t="shared" si="2"/>
        <v>어</v>
      </c>
      <c r="K169" s="118">
        <v>168</v>
      </c>
      <c r="L169" s="125" t="s">
        <v>611</v>
      </c>
      <c r="M169" s="126" t="s">
        <v>536</v>
      </c>
      <c r="N169" s="128">
        <v>32</v>
      </c>
    </row>
    <row r="170" spans="1:14" x14ac:dyDescent="0.4">
      <c r="B170" s="132" t="s">
        <v>329</v>
      </c>
      <c r="C170" s="138" t="s">
        <v>142</v>
      </c>
      <c r="D170" s="132" t="s">
        <v>1</v>
      </c>
      <c r="E170" s="132">
        <v>41</v>
      </c>
      <c r="F170" s="112" t="str">
        <f t="shared" si="2"/>
        <v>어</v>
      </c>
      <c r="K170" s="118">
        <v>169</v>
      </c>
      <c r="L170" s="119" t="s">
        <v>177</v>
      </c>
      <c r="M170" s="120" t="s">
        <v>535</v>
      </c>
      <c r="N170" s="128">
        <v>32</v>
      </c>
    </row>
    <row r="171" spans="1:14" x14ac:dyDescent="0.4">
      <c r="B171" s="132" t="s">
        <v>330</v>
      </c>
      <c r="C171" s="138" t="s">
        <v>236</v>
      </c>
      <c r="D171" s="132" t="s">
        <v>1</v>
      </c>
      <c r="E171" s="132">
        <v>12</v>
      </c>
      <c r="F171" s="112" t="str">
        <f t="shared" si="2"/>
        <v>어</v>
      </c>
      <c r="K171" s="118">
        <v>170</v>
      </c>
      <c r="L171" s="119" t="s">
        <v>252</v>
      </c>
      <c r="M171" s="122" t="s">
        <v>535</v>
      </c>
      <c r="N171" s="128">
        <v>32</v>
      </c>
    </row>
    <row r="172" spans="1:14" x14ac:dyDescent="0.4">
      <c r="B172" s="132" t="s">
        <v>331</v>
      </c>
      <c r="C172" s="138" t="s">
        <v>469</v>
      </c>
      <c r="D172" s="132" t="s">
        <v>1</v>
      </c>
      <c r="E172" s="132">
        <v>33</v>
      </c>
      <c r="F172" s="112" t="str">
        <f t="shared" si="2"/>
        <v>어</v>
      </c>
      <c r="K172" s="118">
        <v>171</v>
      </c>
      <c r="L172" s="119" t="s">
        <v>552</v>
      </c>
      <c r="M172" s="122" t="s">
        <v>536</v>
      </c>
      <c r="N172" s="128">
        <v>32</v>
      </c>
    </row>
    <row r="173" spans="1:14" x14ac:dyDescent="0.4">
      <c r="B173" s="132" t="s">
        <v>332</v>
      </c>
      <c r="C173" s="138" t="s">
        <v>529</v>
      </c>
      <c r="D173" s="132" t="s">
        <v>1</v>
      </c>
      <c r="E173" s="132">
        <v>31</v>
      </c>
      <c r="F173" s="112" t="str">
        <f t="shared" si="2"/>
        <v>어</v>
      </c>
      <c r="K173" s="118">
        <v>172</v>
      </c>
      <c r="L173" s="119" t="s">
        <v>530</v>
      </c>
      <c r="M173" s="122" t="s">
        <v>534</v>
      </c>
      <c r="N173" s="128">
        <v>32</v>
      </c>
    </row>
    <row r="174" spans="1:14" x14ac:dyDescent="0.4">
      <c r="B174" s="132" t="s">
        <v>394</v>
      </c>
      <c r="C174" s="138" t="s">
        <v>518</v>
      </c>
      <c r="D174" s="132" t="s">
        <v>1</v>
      </c>
      <c r="E174" s="132">
        <v>42</v>
      </c>
      <c r="F174" s="112" t="str">
        <f t="shared" si="2"/>
        <v>어</v>
      </c>
      <c r="K174" s="118">
        <v>173</v>
      </c>
      <c r="L174" s="123" t="s">
        <v>143</v>
      </c>
      <c r="M174" s="120" t="s">
        <v>534</v>
      </c>
      <c r="N174" s="128">
        <v>32</v>
      </c>
    </row>
    <row r="175" spans="1:14" x14ac:dyDescent="0.4">
      <c r="B175" s="132" t="s">
        <v>395</v>
      </c>
      <c r="C175" s="138" t="s">
        <v>497</v>
      </c>
      <c r="D175" s="132" t="s">
        <v>1</v>
      </c>
      <c r="E175" s="132">
        <v>31</v>
      </c>
      <c r="F175" s="112" t="str">
        <f t="shared" si="2"/>
        <v>어</v>
      </c>
      <c r="K175" s="118">
        <v>174</v>
      </c>
      <c r="L175" s="119" t="s">
        <v>520</v>
      </c>
      <c r="M175" s="122" t="s">
        <v>534</v>
      </c>
      <c r="N175" s="128">
        <v>32</v>
      </c>
    </row>
    <row r="176" spans="1:14" x14ac:dyDescent="0.4">
      <c r="B176" s="132" t="s">
        <v>396</v>
      </c>
      <c r="C176" s="134" t="s">
        <v>533</v>
      </c>
      <c r="D176" s="132" t="s">
        <v>1</v>
      </c>
      <c r="E176" s="132">
        <v>12</v>
      </c>
      <c r="F176" s="112" t="str">
        <f t="shared" si="2"/>
        <v>어</v>
      </c>
      <c r="K176" s="118">
        <v>175</v>
      </c>
      <c r="L176" s="119" t="s">
        <v>265</v>
      </c>
      <c r="M176" s="122" t="s">
        <v>535</v>
      </c>
      <c r="N176" s="128">
        <v>32</v>
      </c>
    </row>
    <row r="177" spans="1:14" x14ac:dyDescent="0.4">
      <c r="B177" s="132" t="s">
        <v>397</v>
      </c>
      <c r="C177" s="138" t="s">
        <v>511</v>
      </c>
      <c r="D177" s="132" t="s">
        <v>1</v>
      </c>
      <c r="E177" s="132">
        <v>32</v>
      </c>
      <c r="F177" s="112" t="str">
        <f t="shared" si="2"/>
        <v>어</v>
      </c>
      <c r="K177" s="118">
        <v>176</v>
      </c>
      <c r="L177" s="123" t="s">
        <v>272</v>
      </c>
      <c r="M177" s="122" t="s">
        <v>536</v>
      </c>
      <c r="N177" s="128">
        <v>32</v>
      </c>
    </row>
    <row r="178" spans="1:14" x14ac:dyDescent="0.4">
      <c r="B178" s="132" t="s">
        <v>485</v>
      </c>
      <c r="C178" s="138" t="s">
        <v>526</v>
      </c>
      <c r="D178" s="132" t="s">
        <v>1</v>
      </c>
      <c r="E178" s="132">
        <v>31</v>
      </c>
      <c r="F178" s="112" t="str">
        <f t="shared" si="2"/>
        <v>어</v>
      </c>
      <c r="K178" s="118">
        <v>177</v>
      </c>
      <c r="L178" s="119" t="s">
        <v>511</v>
      </c>
      <c r="M178" s="122" t="s">
        <v>535</v>
      </c>
      <c r="N178" s="128">
        <v>32</v>
      </c>
    </row>
    <row r="179" spans="1:14" x14ac:dyDescent="0.4">
      <c r="B179" s="132" t="s">
        <v>486</v>
      </c>
      <c r="C179" s="138" t="s">
        <v>513</v>
      </c>
      <c r="D179" s="132" t="s">
        <v>1</v>
      </c>
      <c r="E179" s="132">
        <v>11</v>
      </c>
      <c r="F179" s="112" t="str">
        <f t="shared" si="2"/>
        <v>어</v>
      </c>
      <c r="K179" s="118">
        <v>178</v>
      </c>
      <c r="L179" s="119" t="s">
        <v>259</v>
      </c>
      <c r="M179" s="122" t="s">
        <v>536</v>
      </c>
      <c r="N179" s="128">
        <v>32</v>
      </c>
    </row>
    <row r="180" spans="1:14" x14ac:dyDescent="0.4">
      <c r="B180" s="132" t="s">
        <v>487</v>
      </c>
      <c r="C180" s="138" t="s">
        <v>517</v>
      </c>
      <c r="D180" s="132" t="s">
        <v>1</v>
      </c>
      <c r="E180" s="132">
        <v>41</v>
      </c>
      <c r="F180" s="112" t="str">
        <f t="shared" si="2"/>
        <v>어</v>
      </c>
      <c r="K180" s="118">
        <v>179</v>
      </c>
      <c r="L180" s="123" t="s">
        <v>264</v>
      </c>
      <c r="M180" s="120" t="s">
        <v>535</v>
      </c>
      <c r="N180" s="128">
        <v>32</v>
      </c>
    </row>
    <row r="181" spans="1:14" x14ac:dyDescent="0.4">
      <c r="B181" s="132" t="s">
        <v>488</v>
      </c>
      <c r="C181" s="138" t="s">
        <v>546</v>
      </c>
      <c r="D181" s="132" t="s">
        <v>1</v>
      </c>
      <c r="E181" s="132">
        <v>12</v>
      </c>
      <c r="F181" s="112" t="str">
        <f t="shared" si="2"/>
        <v>어</v>
      </c>
      <c r="K181" s="118">
        <v>180</v>
      </c>
      <c r="L181" s="119" t="s">
        <v>144</v>
      </c>
      <c r="M181" s="122" t="s">
        <v>536</v>
      </c>
      <c r="N181" s="128">
        <v>32</v>
      </c>
    </row>
    <row r="182" spans="1:14" x14ac:dyDescent="0.4">
      <c r="B182" s="132" t="s">
        <v>489</v>
      </c>
      <c r="C182" s="138" t="s">
        <v>223</v>
      </c>
      <c r="D182" s="132" t="s">
        <v>1</v>
      </c>
      <c r="E182" s="132">
        <v>42</v>
      </c>
      <c r="F182" s="112" t="str">
        <f t="shared" si="2"/>
        <v>어</v>
      </c>
      <c r="K182" s="118">
        <v>181</v>
      </c>
      <c r="L182" s="119" t="s">
        <v>532</v>
      </c>
      <c r="M182" s="122" t="s">
        <v>458</v>
      </c>
      <c r="N182" s="128">
        <v>32</v>
      </c>
    </row>
    <row r="183" spans="1:14" x14ac:dyDescent="0.4">
      <c r="B183" s="132" t="s">
        <v>490</v>
      </c>
      <c r="C183" s="138" t="s">
        <v>245</v>
      </c>
      <c r="D183" s="132" t="s">
        <v>1</v>
      </c>
      <c r="E183" s="132">
        <v>41</v>
      </c>
      <c r="F183" s="112" t="str">
        <f t="shared" si="2"/>
        <v>어</v>
      </c>
      <c r="K183" s="118">
        <v>182</v>
      </c>
      <c r="L183" s="119" t="s">
        <v>451</v>
      </c>
      <c r="M183" s="122" t="s">
        <v>458</v>
      </c>
      <c r="N183" s="128">
        <v>32</v>
      </c>
    </row>
    <row r="184" spans="1:14" x14ac:dyDescent="0.4">
      <c r="B184" s="132" t="s">
        <v>491</v>
      </c>
      <c r="C184" s="138" t="s">
        <v>147</v>
      </c>
      <c r="D184" s="132" t="s">
        <v>1</v>
      </c>
      <c r="E184" s="132">
        <v>42</v>
      </c>
      <c r="F184" s="112" t="str">
        <f t="shared" si="2"/>
        <v>어</v>
      </c>
      <c r="K184" s="118">
        <v>183</v>
      </c>
      <c r="L184" s="119" t="s">
        <v>202</v>
      </c>
      <c r="M184" s="122" t="s">
        <v>458</v>
      </c>
      <c r="N184" s="128">
        <v>32</v>
      </c>
    </row>
    <row r="185" spans="1:14" x14ac:dyDescent="0.4">
      <c r="B185" s="132" t="s">
        <v>492</v>
      </c>
      <c r="C185" s="138" t="s">
        <v>449</v>
      </c>
      <c r="D185" s="132" t="s">
        <v>1</v>
      </c>
      <c r="E185" s="132">
        <v>43</v>
      </c>
      <c r="F185" s="112" t="str">
        <f t="shared" si="2"/>
        <v>어</v>
      </c>
      <c r="K185" s="118">
        <v>184</v>
      </c>
      <c r="L185" s="119" t="s">
        <v>131</v>
      </c>
      <c r="M185" s="120" t="s">
        <v>458</v>
      </c>
      <c r="N185" s="128">
        <v>32</v>
      </c>
    </row>
    <row r="186" spans="1:14" x14ac:dyDescent="0.4">
      <c r="B186" s="132" t="s">
        <v>493</v>
      </c>
      <c r="C186" s="138" t="s">
        <v>235</v>
      </c>
      <c r="D186" s="132" t="s">
        <v>1</v>
      </c>
      <c r="E186" s="132">
        <v>42</v>
      </c>
      <c r="F186" s="112" t="str">
        <f t="shared" si="2"/>
        <v>어</v>
      </c>
      <c r="K186" s="118">
        <v>185</v>
      </c>
      <c r="L186" s="123" t="s">
        <v>230</v>
      </c>
      <c r="M186" s="122" t="s">
        <v>458</v>
      </c>
      <c r="N186" s="128">
        <v>32</v>
      </c>
    </row>
    <row r="187" spans="1:14" x14ac:dyDescent="0.4">
      <c r="B187" s="132" t="s">
        <v>494</v>
      </c>
      <c r="C187" s="132" t="s">
        <v>463</v>
      </c>
      <c r="D187" s="132" t="s">
        <v>1</v>
      </c>
      <c r="E187" s="132">
        <v>43</v>
      </c>
      <c r="F187" s="112" t="str">
        <f t="shared" si="2"/>
        <v>어</v>
      </c>
      <c r="K187" s="118">
        <v>186</v>
      </c>
      <c r="L187" s="119" t="s">
        <v>263</v>
      </c>
      <c r="M187" s="120" t="s">
        <v>534</v>
      </c>
      <c r="N187" s="128">
        <v>33</v>
      </c>
    </row>
    <row r="188" spans="1:14" x14ac:dyDescent="0.4">
      <c r="B188" s="132" t="s">
        <v>495</v>
      </c>
      <c r="C188" s="132" t="s">
        <v>551</v>
      </c>
      <c r="D188" s="132" t="s">
        <v>1</v>
      </c>
      <c r="E188" s="132">
        <v>31</v>
      </c>
      <c r="F188" s="112" t="str">
        <f t="shared" si="2"/>
        <v>어</v>
      </c>
      <c r="K188" s="118">
        <v>187</v>
      </c>
      <c r="L188" s="119" t="s">
        <v>268</v>
      </c>
      <c r="M188" s="122" t="s">
        <v>535</v>
      </c>
      <c r="N188" s="128">
        <v>33</v>
      </c>
    </row>
    <row r="189" spans="1:14" x14ac:dyDescent="0.4">
      <c r="B189" s="132" t="s">
        <v>496</v>
      </c>
      <c r="C189" s="139" t="s">
        <v>547</v>
      </c>
      <c r="D189" s="132" t="s">
        <v>1</v>
      </c>
      <c r="E189" s="132">
        <v>12</v>
      </c>
      <c r="F189" s="112" t="str">
        <f t="shared" si="2"/>
        <v>어</v>
      </c>
      <c r="K189" s="118">
        <v>188</v>
      </c>
      <c r="L189" s="119" t="s">
        <v>450</v>
      </c>
      <c r="M189" s="122" t="s">
        <v>534</v>
      </c>
      <c r="N189" s="128">
        <v>33</v>
      </c>
    </row>
    <row r="190" spans="1:14" x14ac:dyDescent="0.4">
      <c r="A190" s="110" t="s">
        <v>601</v>
      </c>
      <c r="B190" s="132" t="s">
        <v>505</v>
      </c>
      <c r="C190" s="132" t="s">
        <v>589</v>
      </c>
      <c r="D190" s="132" t="s">
        <v>1</v>
      </c>
      <c r="E190" s="132">
        <v>33</v>
      </c>
      <c r="F190" s="112" t="str">
        <f t="shared" si="2"/>
        <v>어</v>
      </c>
      <c r="K190" s="118">
        <v>189</v>
      </c>
      <c r="L190" s="123" t="s">
        <v>469</v>
      </c>
      <c r="M190" s="122" t="s">
        <v>535</v>
      </c>
      <c r="N190" s="128">
        <v>33</v>
      </c>
    </row>
    <row r="191" spans="1:14" x14ac:dyDescent="0.4">
      <c r="B191" s="132" t="s">
        <v>506</v>
      </c>
      <c r="C191" s="132"/>
      <c r="D191" s="132" t="s">
        <v>1</v>
      </c>
      <c r="E191" s="132" t="e">
        <v>#N/A</v>
      </c>
      <c r="F191" s="112" t="e">
        <f t="shared" si="2"/>
        <v>#N/A</v>
      </c>
      <c r="K191" s="118">
        <v>190</v>
      </c>
      <c r="L191" s="123" t="s">
        <v>165</v>
      </c>
      <c r="M191" s="122" t="s">
        <v>534</v>
      </c>
      <c r="N191" s="128">
        <v>33</v>
      </c>
    </row>
    <row r="192" spans="1:14" x14ac:dyDescent="0.4">
      <c r="B192" s="132" t="s">
        <v>553</v>
      </c>
      <c r="C192" s="132"/>
      <c r="D192" s="132" t="s">
        <v>1</v>
      </c>
      <c r="E192" s="132" t="e">
        <v>#N/A</v>
      </c>
      <c r="F192" s="112" t="e">
        <f t="shared" si="2"/>
        <v>#N/A</v>
      </c>
      <c r="K192" s="118">
        <v>191</v>
      </c>
      <c r="L192" s="119" t="s">
        <v>557</v>
      </c>
      <c r="M192" s="122" t="s">
        <v>534</v>
      </c>
      <c r="N192" s="128">
        <v>33</v>
      </c>
    </row>
    <row r="193" spans="2:14" x14ac:dyDescent="0.4">
      <c r="B193" s="132" t="s">
        <v>554</v>
      </c>
      <c r="C193" s="132"/>
      <c r="D193" s="132" t="s">
        <v>1</v>
      </c>
      <c r="E193" s="132" t="e">
        <v>#N/A</v>
      </c>
      <c r="F193" s="112" t="e">
        <f t="shared" si="2"/>
        <v>#N/A</v>
      </c>
      <c r="K193" s="118">
        <v>192</v>
      </c>
      <c r="L193" s="119" t="s">
        <v>465</v>
      </c>
      <c r="M193" s="122" t="s">
        <v>534</v>
      </c>
      <c r="N193" s="128">
        <v>33</v>
      </c>
    </row>
    <row r="194" spans="2:14" x14ac:dyDescent="0.4">
      <c r="B194" s="132" t="s">
        <v>555</v>
      </c>
      <c r="C194" s="132"/>
      <c r="D194" s="132" t="s">
        <v>1</v>
      </c>
      <c r="E194" s="132" t="e">
        <v>#N/A</v>
      </c>
      <c r="F194" s="112" t="e">
        <f t="shared" si="2"/>
        <v>#N/A</v>
      </c>
      <c r="K194" s="118">
        <v>193</v>
      </c>
      <c r="L194" s="119" t="s">
        <v>315</v>
      </c>
      <c r="M194" s="120" t="s">
        <v>535</v>
      </c>
      <c r="N194" s="128">
        <v>33</v>
      </c>
    </row>
    <row r="195" spans="2:14" x14ac:dyDescent="0.4">
      <c r="B195" s="132" t="s">
        <v>556</v>
      </c>
      <c r="C195" s="132"/>
      <c r="D195" s="132" t="s">
        <v>1</v>
      </c>
      <c r="E195" s="132" t="e">
        <v>#N/A</v>
      </c>
      <c r="F195" s="112" t="e">
        <f t="shared" ref="F195:F258" si="3">VLOOKUP(C195,L:N,2,0)</f>
        <v>#N/A</v>
      </c>
      <c r="K195" s="118">
        <v>194</v>
      </c>
      <c r="L195" s="123" t="s">
        <v>531</v>
      </c>
      <c r="M195" s="122" t="s">
        <v>536</v>
      </c>
      <c r="N195" s="128">
        <v>33</v>
      </c>
    </row>
    <row r="196" spans="2:14" x14ac:dyDescent="0.4">
      <c r="B196" s="132" t="s">
        <v>558</v>
      </c>
      <c r="C196" s="132"/>
      <c r="D196" s="132" t="s">
        <v>1</v>
      </c>
      <c r="E196" s="132" t="e">
        <v>#N/A</v>
      </c>
      <c r="F196" s="112" t="e">
        <f t="shared" si="3"/>
        <v>#N/A</v>
      </c>
      <c r="K196" s="118">
        <v>195</v>
      </c>
      <c r="L196" s="119" t="s">
        <v>609</v>
      </c>
      <c r="M196" s="122" t="s">
        <v>535</v>
      </c>
      <c r="N196" s="128">
        <v>33</v>
      </c>
    </row>
    <row r="197" spans="2:14" x14ac:dyDescent="0.4">
      <c r="B197" s="132" t="s">
        <v>559</v>
      </c>
      <c r="C197" s="132"/>
      <c r="D197" s="132" t="s">
        <v>1</v>
      </c>
      <c r="E197" s="132" t="e">
        <v>#N/A</v>
      </c>
      <c r="F197" s="112" t="e">
        <f t="shared" si="3"/>
        <v>#N/A</v>
      </c>
      <c r="K197" s="118">
        <v>196</v>
      </c>
      <c r="L197" s="119" t="s">
        <v>589</v>
      </c>
      <c r="M197" s="122" t="s">
        <v>535</v>
      </c>
      <c r="N197" s="128">
        <v>33</v>
      </c>
    </row>
    <row r="198" spans="2:14" x14ac:dyDescent="0.4">
      <c r="B198" s="130"/>
      <c r="C198" s="130"/>
      <c r="D198" s="130"/>
      <c r="E198" s="130"/>
      <c r="K198" s="118">
        <v>197</v>
      </c>
      <c r="L198" s="123" t="s">
        <v>608</v>
      </c>
      <c r="M198" s="122" t="s">
        <v>535</v>
      </c>
      <c r="N198" s="128">
        <v>33</v>
      </c>
    </row>
    <row r="199" spans="2:14" x14ac:dyDescent="0.4">
      <c r="B199" s="140" t="s">
        <v>38</v>
      </c>
      <c r="C199" s="140" t="s">
        <v>237</v>
      </c>
      <c r="D199" s="140" t="s">
        <v>24</v>
      </c>
      <c r="E199" s="140">
        <v>42</v>
      </c>
      <c r="F199" s="112" t="str">
        <f t="shared" si="3"/>
        <v>은</v>
      </c>
      <c r="K199" s="118">
        <v>198</v>
      </c>
      <c r="L199" s="119" t="s">
        <v>345</v>
      </c>
      <c r="M199" s="122" t="s">
        <v>534</v>
      </c>
      <c r="N199" s="128">
        <v>41</v>
      </c>
    </row>
    <row r="200" spans="2:14" x14ac:dyDescent="0.4">
      <c r="B200" s="140" t="s">
        <v>25</v>
      </c>
      <c r="C200" s="140" t="s">
        <v>548</v>
      </c>
      <c r="D200" s="140" t="s">
        <v>24</v>
      </c>
      <c r="E200" s="140">
        <v>12</v>
      </c>
      <c r="F200" s="112" t="str">
        <f t="shared" si="3"/>
        <v>은</v>
      </c>
      <c r="K200" s="118">
        <v>199</v>
      </c>
      <c r="L200" s="119" t="s">
        <v>289</v>
      </c>
      <c r="M200" s="120" t="s">
        <v>535</v>
      </c>
      <c r="N200" s="128">
        <v>41</v>
      </c>
    </row>
    <row r="201" spans="2:14" x14ac:dyDescent="0.4">
      <c r="B201" s="140" t="s">
        <v>26</v>
      </c>
      <c r="C201" s="140" t="s">
        <v>523</v>
      </c>
      <c r="D201" s="140" t="s">
        <v>24</v>
      </c>
      <c r="E201" s="140">
        <v>43</v>
      </c>
      <c r="F201" s="112" t="str">
        <f t="shared" si="3"/>
        <v>은</v>
      </c>
      <c r="K201" s="118">
        <v>200</v>
      </c>
      <c r="L201" s="119" t="s">
        <v>275</v>
      </c>
      <c r="M201" s="122" t="s">
        <v>534</v>
      </c>
      <c r="N201" s="128">
        <v>41</v>
      </c>
    </row>
    <row r="202" spans="2:14" x14ac:dyDescent="0.4">
      <c r="B202" s="140" t="s">
        <v>87</v>
      </c>
      <c r="C202" s="140" t="s">
        <v>182</v>
      </c>
      <c r="D202" s="140" t="s">
        <v>24</v>
      </c>
      <c r="E202" s="140">
        <v>43</v>
      </c>
      <c r="F202" s="112" t="str">
        <f t="shared" si="3"/>
        <v>은</v>
      </c>
      <c r="K202" s="118">
        <v>201</v>
      </c>
      <c r="L202" s="119" t="s">
        <v>519</v>
      </c>
      <c r="M202" s="122" t="s">
        <v>535</v>
      </c>
      <c r="N202" s="128">
        <v>41</v>
      </c>
    </row>
    <row r="203" spans="2:14" x14ac:dyDescent="0.4">
      <c r="B203" s="140" t="s">
        <v>88</v>
      </c>
      <c r="C203" s="141" t="s">
        <v>247</v>
      </c>
      <c r="D203" s="140" t="s">
        <v>24</v>
      </c>
      <c r="E203" s="140">
        <v>11</v>
      </c>
      <c r="F203" s="112" t="str">
        <f t="shared" si="3"/>
        <v>은</v>
      </c>
      <c r="K203" s="118">
        <v>202</v>
      </c>
      <c r="L203" s="119" t="s">
        <v>269</v>
      </c>
      <c r="M203" s="122" t="s">
        <v>536</v>
      </c>
      <c r="N203" s="128">
        <v>41</v>
      </c>
    </row>
    <row r="204" spans="2:14" x14ac:dyDescent="0.4">
      <c r="B204" s="140" t="s">
        <v>89</v>
      </c>
      <c r="C204" s="140" t="s">
        <v>144</v>
      </c>
      <c r="D204" s="140" t="s">
        <v>24</v>
      </c>
      <c r="E204" s="140">
        <v>32</v>
      </c>
      <c r="F204" s="112" t="str">
        <f t="shared" si="3"/>
        <v>은</v>
      </c>
      <c r="K204" s="118">
        <v>203</v>
      </c>
      <c r="L204" s="123" t="s">
        <v>283</v>
      </c>
      <c r="M204" s="120" t="s">
        <v>535</v>
      </c>
      <c r="N204" s="128">
        <v>41</v>
      </c>
    </row>
    <row r="205" spans="2:14" x14ac:dyDescent="0.4">
      <c r="B205" s="140" t="s">
        <v>90</v>
      </c>
      <c r="C205" s="140" t="s">
        <v>139</v>
      </c>
      <c r="D205" s="140" t="s">
        <v>24</v>
      </c>
      <c r="E205" s="140">
        <v>31</v>
      </c>
      <c r="F205" s="112" t="str">
        <f t="shared" si="3"/>
        <v>은</v>
      </c>
      <c r="K205" s="118">
        <v>204</v>
      </c>
      <c r="L205" s="119" t="s">
        <v>173</v>
      </c>
      <c r="M205" s="122" t="s">
        <v>534</v>
      </c>
      <c r="N205" s="128">
        <v>41</v>
      </c>
    </row>
    <row r="206" spans="2:14" x14ac:dyDescent="0.4">
      <c r="B206" s="140" t="s">
        <v>91</v>
      </c>
      <c r="C206" s="141" t="s">
        <v>141</v>
      </c>
      <c r="D206" s="140" t="s">
        <v>24</v>
      </c>
      <c r="E206" s="140">
        <v>21</v>
      </c>
      <c r="F206" s="112" t="str">
        <f t="shared" si="3"/>
        <v>은</v>
      </c>
      <c r="K206" s="118">
        <v>205</v>
      </c>
      <c r="L206" s="119" t="s">
        <v>194</v>
      </c>
      <c r="M206" s="122" t="s">
        <v>535</v>
      </c>
      <c r="N206" s="128">
        <v>41</v>
      </c>
    </row>
    <row r="207" spans="2:14" x14ac:dyDescent="0.4">
      <c r="B207" s="140" t="s">
        <v>92</v>
      </c>
      <c r="C207" s="140" t="s">
        <v>192</v>
      </c>
      <c r="D207" s="140" t="s">
        <v>24</v>
      </c>
      <c r="E207" s="140">
        <v>21</v>
      </c>
      <c r="F207" s="112" t="str">
        <f t="shared" si="3"/>
        <v>은</v>
      </c>
      <c r="K207" s="118">
        <v>206</v>
      </c>
      <c r="L207" s="123" t="s">
        <v>509</v>
      </c>
      <c r="M207" s="122" t="s">
        <v>534</v>
      </c>
      <c r="N207" s="128">
        <v>41</v>
      </c>
    </row>
    <row r="208" spans="2:14" x14ac:dyDescent="0.4">
      <c r="B208" s="140" t="s">
        <v>93</v>
      </c>
      <c r="C208" s="140" t="s">
        <v>531</v>
      </c>
      <c r="D208" s="140" t="s">
        <v>24</v>
      </c>
      <c r="E208" s="140">
        <v>33</v>
      </c>
      <c r="F208" s="112" t="str">
        <f t="shared" si="3"/>
        <v>은</v>
      </c>
      <c r="K208" s="118">
        <v>207</v>
      </c>
      <c r="L208" s="119" t="s">
        <v>517</v>
      </c>
      <c r="M208" s="122" t="s">
        <v>535</v>
      </c>
      <c r="N208" s="128">
        <v>41</v>
      </c>
    </row>
    <row r="209" spans="1:14" x14ac:dyDescent="0.4">
      <c r="A209" s="110" t="s">
        <v>601</v>
      </c>
      <c r="B209" s="140" t="s">
        <v>94</v>
      </c>
      <c r="C209" s="140" t="s">
        <v>606</v>
      </c>
      <c r="D209" s="140" t="s">
        <v>24</v>
      </c>
      <c r="E209" s="140">
        <v>21</v>
      </c>
      <c r="F209" s="112" t="str">
        <f t="shared" si="3"/>
        <v>은</v>
      </c>
      <c r="K209" s="118">
        <v>208</v>
      </c>
      <c r="L209" s="119" t="s">
        <v>145</v>
      </c>
      <c r="M209" s="122" t="s">
        <v>534</v>
      </c>
      <c r="N209" s="128">
        <v>41</v>
      </c>
    </row>
    <row r="210" spans="1:14" x14ac:dyDescent="0.4">
      <c r="B210" s="140" t="s">
        <v>95</v>
      </c>
      <c r="C210" s="140" t="s">
        <v>172</v>
      </c>
      <c r="D210" s="140" t="s">
        <v>24</v>
      </c>
      <c r="E210" s="140">
        <v>12</v>
      </c>
      <c r="F210" s="112" t="str">
        <f t="shared" si="3"/>
        <v>은</v>
      </c>
      <c r="K210" s="118">
        <v>209</v>
      </c>
      <c r="L210" s="123" t="s">
        <v>244</v>
      </c>
      <c r="M210" s="120" t="s">
        <v>535</v>
      </c>
      <c r="N210" s="128">
        <v>41</v>
      </c>
    </row>
    <row r="211" spans="1:14" x14ac:dyDescent="0.4">
      <c r="B211" s="140" t="s">
        <v>96</v>
      </c>
      <c r="C211" s="140" t="s">
        <v>183</v>
      </c>
      <c r="D211" s="140" t="s">
        <v>24</v>
      </c>
      <c r="E211" s="140">
        <v>42</v>
      </c>
      <c r="F211" s="112" t="str">
        <f t="shared" si="3"/>
        <v>은</v>
      </c>
      <c r="K211" s="118">
        <v>210</v>
      </c>
      <c r="L211" s="119" t="s">
        <v>224</v>
      </c>
      <c r="M211" s="122" t="s">
        <v>534</v>
      </c>
      <c r="N211" s="128">
        <v>41</v>
      </c>
    </row>
    <row r="212" spans="1:14" x14ac:dyDescent="0.4">
      <c r="B212" s="140" t="s">
        <v>97</v>
      </c>
      <c r="C212" s="140" t="s">
        <v>269</v>
      </c>
      <c r="D212" s="140" t="s">
        <v>24</v>
      </c>
      <c r="E212" s="140">
        <v>41</v>
      </c>
      <c r="F212" s="112" t="str">
        <f t="shared" si="3"/>
        <v>은</v>
      </c>
      <c r="K212" s="118">
        <v>211</v>
      </c>
      <c r="L212" s="119" t="s">
        <v>227</v>
      </c>
      <c r="M212" s="122" t="s">
        <v>535</v>
      </c>
      <c r="N212" s="128">
        <v>41</v>
      </c>
    </row>
    <row r="213" spans="1:14" x14ac:dyDescent="0.4">
      <c r="B213" s="140" t="s">
        <v>98</v>
      </c>
      <c r="C213" s="141" t="s">
        <v>148</v>
      </c>
      <c r="D213" s="140" t="s">
        <v>24</v>
      </c>
      <c r="E213" s="140">
        <v>43</v>
      </c>
      <c r="F213" s="112" t="str">
        <f t="shared" si="3"/>
        <v>은</v>
      </c>
      <c r="K213" s="118">
        <v>212</v>
      </c>
      <c r="L213" s="119" t="s">
        <v>231</v>
      </c>
      <c r="M213" s="122" t="s">
        <v>534</v>
      </c>
      <c r="N213" s="128">
        <v>41</v>
      </c>
    </row>
    <row r="214" spans="1:14" x14ac:dyDescent="0.4">
      <c r="B214" s="140" t="s">
        <v>99</v>
      </c>
      <c r="C214" s="140" t="s">
        <v>461</v>
      </c>
      <c r="D214" s="140" t="s">
        <v>24</v>
      </c>
      <c r="E214" s="140">
        <v>42</v>
      </c>
      <c r="F214" s="112" t="str">
        <f t="shared" si="3"/>
        <v>은</v>
      </c>
      <c r="K214" s="118">
        <v>213</v>
      </c>
      <c r="L214" s="119" t="s">
        <v>234</v>
      </c>
      <c r="M214" s="122" t="s">
        <v>535</v>
      </c>
      <c r="N214" s="128">
        <v>41</v>
      </c>
    </row>
    <row r="215" spans="1:14" x14ac:dyDescent="0.4">
      <c r="B215" s="140" t="s">
        <v>100</v>
      </c>
      <c r="C215" s="140" t="s">
        <v>271</v>
      </c>
      <c r="D215" s="140" t="s">
        <v>24</v>
      </c>
      <c r="E215" s="140">
        <v>11</v>
      </c>
      <c r="F215" s="112" t="str">
        <f t="shared" si="3"/>
        <v>은</v>
      </c>
      <c r="K215" s="118">
        <v>214</v>
      </c>
      <c r="L215" s="119" t="s">
        <v>214</v>
      </c>
      <c r="M215" s="120" t="s">
        <v>534</v>
      </c>
      <c r="N215" s="128">
        <v>41</v>
      </c>
    </row>
    <row r="216" spans="1:14" x14ac:dyDescent="0.4">
      <c r="B216" s="140" t="s">
        <v>101</v>
      </c>
      <c r="C216" s="141" t="s">
        <v>181</v>
      </c>
      <c r="D216" s="140" t="s">
        <v>24</v>
      </c>
      <c r="E216" s="140">
        <v>31</v>
      </c>
      <c r="F216" s="112" t="str">
        <f t="shared" si="3"/>
        <v>은</v>
      </c>
      <c r="K216" s="118">
        <v>215</v>
      </c>
      <c r="L216" s="119" t="s">
        <v>142</v>
      </c>
      <c r="M216" s="122" t="s">
        <v>535</v>
      </c>
      <c r="N216" s="128">
        <v>41</v>
      </c>
    </row>
    <row r="217" spans="1:14" x14ac:dyDescent="0.4">
      <c r="B217" s="140" t="s">
        <v>171</v>
      </c>
      <c r="C217" s="141" t="s">
        <v>216</v>
      </c>
      <c r="D217" s="140" t="s">
        <v>24</v>
      </c>
      <c r="E217" s="140">
        <v>11</v>
      </c>
      <c r="F217" s="112" t="str">
        <f t="shared" si="3"/>
        <v>은</v>
      </c>
      <c r="K217" s="118">
        <v>216</v>
      </c>
      <c r="L217" s="119" t="s">
        <v>612</v>
      </c>
      <c r="M217" s="122" t="s">
        <v>536</v>
      </c>
      <c r="N217" s="128">
        <v>41</v>
      </c>
    </row>
    <row r="218" spans="1:14" x14ac:dyDescent="0.4">
      <c r="B218" s="140" t="s">
        <v>156</v>
      </c>
      <c r="C218" s="140" t="s">
        <v>270</v>
      </c>
      <c r="D218" s="140" t="s">
        <v>24</v>
      </c>
      <c r="E218" s="140">
        <v>11</v>
      </c>
      <c r="F218" s="112" t="str">
        <f t="shared" si="3"/>
        <v>은</v>
      </c>
      <c r="K218" s="118">
        <v>217</v>
      </c>
      <c r="L218" s="119" t="s">
        <v>560</v>
      </c>
      <c r="M218" s="122" t="s">
        <v>535</v>
      </c>
      <c r="N218" s="128">
        <v>41</v>
      </c>
    </row>
    <row r="219" spans="1:14" x14ac:dyDescent="0.4">
      <c r="A219" s="110" t="s">
        <v>601</v>
      </c>
      <c r="B219" s="140" t="s">
        <v>155</v>
      </c>
      <c r="C219" s="140" t="s">
        <v>603</v>
      </c>
      <c r="D219" s="140" t="s">
        <v>24</v>
      </c>
      <c r="E219" s="140">
        <v>12</v>
      </c>
      <c r="F219" s="112" t="str">
        <f t="shared" si="3"/>
        <v>은</v>
      </c>
      <c r="K219" s="118">
        <v>218</v>
      </c>
      <c r="L219" s="123" t="s">
        <v>232</v>
      </c>
      <c r="M219" s="120" t="s">
        <v>534</v>
      </c>
      <c r="N219" s="128">
        <v>41</v>
      </c>
    </row>
    <row r="220" spans="1:14" x14ac:dyDescent="0.4">
      <c r="B220" s="140" t="s">
        <v>154</v>
      </c>
      <c r="C220" s="141" t="s">
        <v>140</v>
      </c>
      <c r="D220" s="140" t="s">
        <v>24</v>
      </c>
      <c r="E220" s="140">
        <v>21</v>
      </c>
      <c r="F220" s="112" t="str">
        <f t="shared" si="3"/>
        <v>은</v>
      </c>
      <c r="K220" s="118">
        <v>219</v>
      </c>
      <c r="L220" s="119" t="s">
        <v>245</v>
      </c>
      <c r="M220" s="122" t="s">
        <v>535</v>
      </c>
      <c r="N220" s="128">
        <v>41</v>
      </c>
    </row>
    <row r="221" spans="1:14" x14ac:dyDescent="0.4">
      <c r="B221" s="140" t="s">
        <v>153</v>
      </c>
      <c r="C221" s="140" t="s">
        <v>191</v>
      </c>
      <c r="D221" s="140" t="s">
        <v>24</v>
      </c>
      <c r="E221" s="140">
        <v>31</v>
      </c>
      <c r="F221" s="112" t="str">
        <f t="shared" si="3"/>
        <v>은</v>
      </c>
      <c r="K221" s="118">
        <v>220</v>
      </c>
      <c r="L221" s="119" t="s">
        <v>222</v>
      </c>
      <c r="M221" s="122" t="s">
        <v>536</v>
      </c>
      <c r="N221" s="128">
        <v>41</v>
      </c>
    </row>
    <row r="222" spans="1:14" x14ac:dyDescent="0.4">
      <c r="B222" s="140" t="s">
        <v>152</v>
      </c>
      <c r="C222" s="141" t="s">
        <v>238</v>
      </c>
      <c r="D222" s="140" t="s">
        <v>24</v>
      </c>
      <c r="E222" s="140">
        <v>42</v>
      </c>
      <c r="F222" s="112" t="str">
        <f t="shared" si="3"/>
        <v>은</v>
      </c>
      <c r="K222" s="118">
        <v>221</v>
      </c>
      <c r="L222" s="123" t="s">
        <v>134</v>
      </c>
      <c r="M222" s="122" t="s">
        <v>458</v>
      </c>
      <c r="N222" s="128">
        <v>41</v>
      </c>
    </row>
    <row r="223" spans="1:14" x14ac:dyDescent="0.4">
      <c r="B223" s="140" t="s">
        <v>196</v>
      </c>
      <c r="C223" s="142" t="s">
        <v>222</v>
      </c>
      <c r="D223" s="140" t="s">
        <v>24</v>
      </c>
      <c r="E223" s="140">
        <v>41</v>
      </c>
      <c r="F223" s="112" t="str">
        <f t="shared" si="3"/>
        <v>은</v>
      </c>
      <c r="K223" s="118">
        <v>222</v>
      </c>
      <c r="L223" s="119" t="s">
        <v>129</v>
      </c>
      <c r="M223" s="122" t="s">
        <v>458</v>
      </c>
      <c r="N223" s="128">
        <v>41</v>
      </c>
    </row>
    <row r="224" spans="1:14" x14ac:dyDescent="0.4">
      <c r="B224" s="140" t="s">
        <v>197</v>
      </c>
      <c r="C224" s="141" t="s">
        <v>318</v>
      </c>
      <c r="D224" s="140" t="s">
        <v>24</v>
      </c>
      <c r="E224" s="140">
        <v>11</v>
      </c>
      <c r="F224" s="112" t="str">
        <f t="shared" si="3"/>
        <v>은</v>
      </c>
      <c r="K224" s="118">
        <v>223</v>
      </c>
      <c r="L224" s="119" t="s">
        <v>261</v>
      </c>
      <c r="M224" s="122" t="s">
        <v>458</v>
      </c>
      <c r="N224" s="128">
        <v>41</v>
      </c>
    </row>
    <row r="225" spans="1:14" x14ac:dyDescent="0.4">
      <c r="B225" s="140" t="s">
        <v>198</v>
      </c>
      <c r="C225" s="143" t="s">
        <v>239</v>
      </c>
      <c r="D225" s="140" t="s">
        <v>24</v>
      </c>
      <c r="E225" s="140">
        <v>12</v>
      </c>
      <c r="F225" s="112" t="str">
        <f t="shared" si="3"/>
        <v>은</v>
      </c>
      <c r="K225" s="118">
        <v>224</v>
      </c>
      <c r="L225" s="123" t="s">
        <v>128</v>
      </c>
      <c r="M225" s="120" t="s">
        <v>458</v>
      </c>
      <c r="N225" s="128">
        <v>41</v>
      </c>
    </row>
    <row r="226" spans="1:14" x14ac:dyDescent="0.4">
      <c r="B226" s="140" t="s">
        <v>199</v>
      </c>
      <c r="C226" s="141" t="s">
        <v>272</v>
      </c>
      <c r="D226" s="140" t="s">
        <v>24</v>
      </c>
      <c r="E226" s="140">
        <v>32</v>
      </c>
      <c r="F226" s="112" t="str">
        <f t="shared" si="3"/>
        <v>은</v>
      </c>
      <c r="K226" s="118">
        <v>225</v>
      </c>
      <c r="L226" s="119" t="s">
        <v>452</v>
      </c>
      <c r="M226" s="122" t="s">
        <v>458</v>
      </c>
      <c r="N226" s="128">
        <v>41</v>
      </c>
    </row>
    <row r="227" spans="1:14" x14ac:dyDescent="0.4">
      <c r="B227" s="140" t="s">
        <v>200</v>
      </c>
      <c r="C227" s="141" t="s">
        <v>552</v>
      </c>
      <c r="D227" s="140" t="s">
        <v>24</v>
      </c>
      <c r="E227" s="140">
        <v>32</v>
      </c>
      <c r="F227" s="112" t="str">
        <f t="shared" si="3"/>
        <v>은</v>
      </c>
      <c r="K227" s="118">
        <v>226</v>
      </c>
      <c r="L227" s="119" t="s">
        <v>456</v>
      </c>
      <c r="M227" s="122" t="s">
        <v>458</v>
      </c>
      <c r="N227" s="128">
        <v>41</v>
      </c>
    </row>
    <row r="228" spans="1:14" x14ac:dyDescent="0.4">
      <c r="B228" s="140" t="s">
        <v>201</v>
      </c>
      <c r="C228" s="141" t="s">
        <v>515</v>
      </c>
      <c r="D228" s="140" t="s">
        <v>24</v>
      </c>
      <c r="E228" s="140">
        <v>42</v>
      </c>
      <c r="F228" s="112" t="str">
        <f t="shared" si="3"/>
        <v>은</v>
      </c>
      <c r="K228" s="118">
        <v>227</v>
      </c>
      <c r="L228" s="119" t="s">
        <v>277</v>
      </c>
      <c r="M228" s="122" t="s">
        <v>458</v>
      </c>
      <c r="N228" s="128">
        <v>41</v>
      </c>
    </row>
    <row r="229" spans="1:14" x14ac:dyDescent="0.4">
      <c r="B229" s="140" t="s">
        <v>367</v>
      </c>
      <c r="C229" s="141" t="s">
        <v>438</v>
      </c>
      <c r="D229" s="140" t="s">
        <v>24</v>
      </c>
      <c r="E229" s="140">
        <v>31</v>
      </c>
      <c r="F229" s="112" t="str">
        <f t="shared" si="3"/>
        <v>은</v>
      </c>
      <c r="K229" s="118">
        <v>228</v>
      </c>
      <c r="L229" s="119" t="s">
        <v>459</v>
      </c>
      <c r="M229" s="122" t="s">
        <v>534</v>
      </c>
      <c r="N229" s="128">
        <v>41</v>
      </c>
    </row>
    <row r="230" spans="1:14" x14ac:dyDescent="0.4">
      <c r="A230" s="110" t="s">
        <v>601</v>
      </c>
      <c r="B230" s="140" t="s">
        <v>368</v>
      </c>
      <c r="C230" s="141" t="s">
        <v>611</v>
      </c>
      <c r="D230" s="140" t="s">
        <v>24</v>
      </c>
      <c r="E230" s="140">
        <v>32</v>
      </c>
      <c r="F230" s="112" t="str">
        <f t="shared" si="3"/>
        <v>은</v>
      </c>
      <c r="K230" s="118">
        <v>229</v>
      </c>
      <c r="L230" s="119" t="s">
        <v>338</v>
      </c>
      <c r="M230" s="120" t="s">
        <v>534</v>
      </c>
      <c r="N230" s="128">
        <v>42</v>
      </c>
    </row>
    <row r="231" spans="1:14" x14ac:dyDescent="0.4">
      <c r="A231" s="110" t="s">
        <v>601</v>
      </c>
      <c r="B231" s="140" t="s">
        <v>369</v>
      </c>
      <c r="C231" s="141" t="s">
        <v>612</v>
      </c>
      <c r="D231" s="140" t="s">
        <v>24</v>
      </c>
      <c r="E231" s="140">
        <v>41</v>
      </c>
      <c r="F231" s="112" t="str">
        <f t="shared" si="3"/>
        <v>은</v>
      </c>
      <c r="K231" s="118">
        <v>230</v>
      </c>
      <c r="L231" s="123" t="s">
        <v>273</v>
      </c>
      <c r="M231" s="122" t="s">
        <v>535</v>
      </c>
      <c r="N231" s="128">
        <v>42</v>
      </c>
    </row>
    <row r="232" spans="1:14" x14ac:dyDescent="0.4">
      <c r="B232" s="140" t="s">
        <v>613</v>
      </c>
      <c r="C232" s="141" t="s">
        <v>259</v>
      </c>
      <c r="D232" s="140" t="s">
        <v>24</v>
      </c>
      <c r="E232" s="140">
        <v>32</v>
      </c>
      <c r="F232" s="112" t="str">
        <f t="shared" si="3"/>
        <v>은</v>
      </c>
      <c r="K232" s="118">
        <v>231</v>
      </c>
      <c r="L232" s="119" t="s">
        <v>350</v>
      </c>
      <c r="M232" s="120" t="s">
        <v>534</v>
      </c>
      <c r="N232" s="128">
        <v>42</v>
      </c>
    </row>
    <row r="233" spans="1:14" x14ac:dyDescent="0.4">
      <c r="A233" s="110" t="s">
        <v>614</v>
      </c>
      <c r="B233" s="140" t="s">
        <v>370</v>
      </c>
      <c r="C233" s="141" t="s">
        <v>588</v>
      </c>
      <c r="D233" s="140" t="s">
        <v>24</v>
      </c>
      <c r="E233" s="140">
        <v>32</v>
      </c>
      <c r="F233" s="112" t="e">
        <f t="shared" si="3"/>
        <v>#N/A</v>
      </c>
      <c r="K233" s="118">
        <v>232</v>
      </c>
      <c r="L233" s="119" t="s">
        <v>295</v>
      </c>
      <c r="M233" s="122" t="s">
        <v>535</v>
      </c>
      <c r="N233" s="128">
        <v>42</v>
      </c>
    </row>
    <row r="234" spans="1:14" x14ac:dyDescent="0.4">
      <c r="B234" s="140" t="s">
        <v>615</v>
      </c>
      <c r="C234" s="141" t="s">
        <v>445</v>
      </c>
      <c r="D234" s="140" t="s">
        <v>24</v>
      </c>
      <c r="E234" s="140">
        <v>32</v>
      </c>
      <c r="F234" s="112" t="str">
        <f t="shared" si="3"/>
        <v>은</v>
      </c>
      <c r="K234" s="118">
        <v>233</v>
      </c>
      <c r="L234" s="119" t="s">
        <v>461</v>
      </c>
      <c r="M234" s="122" t="s">
        <v>536</v>
      </c>
      <c r="N234" s="128">
        <v>42</v>
      </c>
    </row>
    <row r="235" spans="1:14" x14ac:dyDescent="0.4">
      <c r="B235" s="140" t="s">
        <v>616</v>
      </c>
      <c r="C235" s="141" t="s">
        <v>522</v>
      </c>
      <c r="D235" s="140" t="s">
        <v>24</v>
      </c>
      <c r="E235" s="140">
        <v>21</v>
      </c>
      <c r="F235" s="112" t="str">
        <f t="shared" si="3"/>
        <v>은</v>
      </c>
      <c r="K235" s="118">
        <v>234</v>
      </c>
      <c r="L235" s="123" t="s">
        <v>617</v>
      </c>
      <c r="M235" s="122" t="s">
        <v>458</v>
      </c>
      <c r="N235" s="128">
        <v>42</v>
      </c>
    </row>
    <row r="236" spans="1:14" x14ac:dyDescent="0.4">
      <c r="B236" s="140" t="s">
        <v>618</v>
      </c>
      <c r="C236" s="141" t="s">
        <v>254</v>
      </c>
      <c r="D236" s="140" t="s">
        <v>24</v>
      </c>
      <c r="E236" s="140">
        <v>31</v>
      </c>
      <c r="F236" s="112" t="str">
        <f t="shared" si="3"/>
        <v>은</v>
      </c>
      <c r="K236" s="118">
        <v>235</v>
      </c>
      <c r="L236" s="123" t="s">
        <v>339</v>
      </c>
      <c r="M236" s="122" t="s">
        <v>534</v>
      </c>
      <c r="N236" s="128">
        <v>42</v>
      </c>
    </row>
    <row r="237" spans="1:14" x14ac:dyDescent="0.4">
      <c r="B237" s="140" t="s">
        <v>619</v>
      </c>
      <c r="C237" s="141" t="s">
        <v>566</v>
      </c>
      <c r="D237" s="140" t="s">
        <v>24</v>
      </c>
      <c r="E237" s="140">
        <v>43</v>
      </c>
      <c r="F237" s="112" t="str">
        <f t="shared" si="3"/>
        <v>은</v>
      </c>
      <c r="K237" s="118">
        <v>236</v>
      </c>
      <c r="L237" s="119" t="s">
        <v>284</v>
      </c>
      <c r="M237" s="122" t="s">
        <v>535</v>
      </c>
      <c r="N237" s="128">
        <v>42</v>
      </c>
    </row>
    <row r="238" spans="1:14" x14ac:dyDescent="0.4">
      <c r="B238" s="140" t="s">
        <v>620</v>
      </c>
      <c r="C238" s="141" t="s">
        <v>524</v>
      </c>
      <c r="D238" s="140" t="s">
        <v>24</v>
      </c>
      <c r="E238" s="140">
        <v>31</v>
      </c>
      <c r="F238" s="112" t="str">
        <f t="shared" si="3"/>
        <v>은</v>
      </c>
      <c r="K238" s="118">
        <v>237</v>
      </c>
      <c r="L238" s="119" t="s">
        <v>178</v>
      </c>
      <c r="M238" s="122" t="s">
        <v>534</v>
      </c>
      <c r="N238" s="128">
        <v>42</v>
      </c>
    </row>
    <row r="239" spans="1:14" x14ac:dyDescent="0.4">
      <c r="B239" s="140" t="s">
        <v>621</v>
      </c>
      <c r="C239" s="141" t="s">
        <v>540</v>
      </c>
      <c r="D239" s="140" t="s">
        <v>24</v>
      </c>
      <c r="E239" s="140">
        <v>21</v>
      </c>
      <c r="F239" s="112" t="str">
        <f t="shared" si="3"/>
        <v>은</v>
      </c>
      <c r="K239" s="118">
        <v>238</v>
      </c>
      <c r="L239" s="119" t="s">
        <v>220</v>
      </c>
      <c r="M239" s="120" t="s">
        <v>535</v>
      </c>
      <c r="N239" s="128">
        <v>42</v>
      </c>
    </row>
    <row r="240" spans="1:14" x14ac:dyDescent="0.4">
      <c r="B240" s="140" t="s">
        <v>453</v>
      </c>
      <c r="C240" s="140" t="s">
        <v>510</v>
      </c>
      <c r="D240" s="140" t="s">
        <v>24</v>
      </c>
      <c r="E240" s="140">
        <v>31</v>
      </c>
      <c r="F240" s="112" t="str">
        <f t="shared" si="3"/>
        <v>은</v>
      </c>
      <c r="K240" s="118">
        <v>239</v>
      </c>
      <c r="L240" s="123" t="s">
        <v>218</v>
      </c>
      <c r="M240" s="122" t="s">
        <v>534</v>
      </c>
      <c r="N240" s="128">
        <v>42</v>
      </c>
    </row>
    <row r="241" spans="1:14" x14ac:dyDescent="0.4">
      <c r="B241" s="140" t="s">
        <v>622</v>
      </c>
      <c r="C241" s="140" t="s">
        <v>569</v>
      </c>
      <c r="D241" s="140" t="s">
        <v>24</v>
      </c>
      <c r="E241" s="140">
        <v>43</v>
      </c>
      <c r="F241" s="112" t="str">
        <f t="shared" si="3"/>
        <v>은</v>
      </c>
      <c r="K241" s="118">
        <v>240</v>
      </c>
      <c r="L241" s="119" t="s">
        <v>223</v>
      </c>
      <c r="M241" s="122" t="s">
        <v>535</v>
      </c>
      <c r="N241" s="128">
        <v>42</v>
      </c>
    </row>
    <row r="242" spans="1:14" x14ac:dyDescent="0.4">
      <c r="B242" s="140" t="s">
        <v>473</v>
      </c>
      <c r="C242" s="140" t="s">
        <v>629</v>
      </c>
      <c r="D242" s="140" t="s">
        <v>24</v>
      </c>
      <c r="E242" s="140">
        <v>11</v>
      </c>
      <c r="F242" s="153" t="s">
        <v>631</v>
      </c>
      <c r="K242" s="118">
        <v>241</v>
      </c>
      <c r="L242" s="119" t="s">
        <v>233</v>
      </c>
      <c r="M242" s="122" t="s">
        <v>458</v>
      </c>
      <c r="N242" s="128">
        <v>42</v>
      </c>
    </row>
    <row r="243" spans="1:14" x14ac:dyDescent="0.4">
      <c r="B243" s="140" t="s">
        <v>474</v>
      </c>
      <c r="C243" s="142" t="s">
        <v>630</v>
      </c>
      <c r="D243" s="140" t="s">
        <v>24</v>
      </c>
      <c r="E243" s="140">
        <v>11</v>
      </c>
      <c r="F243" s="153" t="s">
        <v>631</v>
      </c>
      <c r="K243" s="118">
        <v>242</v>
      </c>
      <c r="L243" s="123" t="s">
        <v>562</v>
      </c>
      <c r="M243" s="122" t="s">
        <v>458</v>
      </c>
      <c r="N243" s="128">
        <v>42</v>
      </c>
    </row>
    <row r="244" spans="1:14" x14ac:dyDescent="0.4">
      <c r="B244" s="140" t="s">
        <v>475</v>
      </c>
      <c r="C244" s="140"/>
      <c r="D244" s="140" t="s">
        <v>24</v>
      </c>
      <c r="E244" s="140" t="e">
        <v>#N/A</v>
      </c>
      <c r="F244" s="112" t="e">
        <f t="shared" si="3"/>
        <v>#N/A</v>
      </c>
      <c r="K244" s="118">
        <v>243</v>
      </c>
      <c r="L244" s="119" t="s">
        <v>225</v>
      </c>
      <c r="M244" s="122" t="s">
        <v>458</v>
      </c>
      <c r="N244" s="128">
        <v>42</v>
      </c>
    </row>
    <row r="245" spans="1:14" x14ac:dyDescent="0.4">
      <c r="B245" s="140" t="s">
        <v>476</v>
      </c>
      <c r="C245" s="140"/>
      <c r="D245" s="140" t="s">
        <v>24</v>
      </c>
      <c r="E245" s="140" t="e">
        <v>#N/A</v>
      </c>
      <c r="F245" s="112" t="e">
        <f t="shared" si="3"/>
        <v>#N/A</v>
      </c>
      <c r="K245" s="118">
        <v>244</v>
      </c>
      <c r="L245" s="119" t="s">
        <v>455</v>
      </c>
      <c r="M245" s="120" t="s">
        <v>458</v>
      </c>
      <c r="N245" s="128">
        <v>42</v>
      </c>
    </row>
    <row r="246" spans="1:14" x14ac:dyDescent="0.4">
      <c r="B246" s="140" t="s">
        <v>477</v>
      </c>
      <c r="C246" s="140"/>
      <c r="D246" s="140" t="s">
        <v>24</v>
      </c>
      <c r="E246" s="140" t="e">
        <v>#N/A</v>
      </c>
      <c r="F246" s="112" t="e">
        <f t="shared" si="3"/>
        <v>#N/A</v>
      </c>
      <c r="K246" s="118">
        <v>245</v>
      </c>
      <c r="L246" s="119" t="s">
        <v>347</v>
      </c>
      <c r="M246" s="120" t="s">
        <v>534</v>
      </c>
      <c r="N246" s="128">
        <v>42</v>
      </c>
    </row>
    <row r="247" spans="1:14" x14ac:dyDescent="0.4">
      <c r="B247" s="140" t="s">
        <v>498</v>
      </c>
      <c r="C247" s="140"/>
      <c r="D247" s="140" t="s">
        <v>24</v>
      </c>
      <c r="E247" s="140" t="e">
        <v>#N/A</v>
      </c>
      <c r="F247" s="112" t="e">
        <f t="shared" si="3"/>
        <v>#N/A</v>
      </c>
      <c r="K247" s="118">
        <v>246</v>
      </c>
      <c r="L247" s="119" t="s">
        <v>291</v>
      </c>
      <c r="M247" s="122" t="s">
        <v>535</v>
      </c>
      <c r="N247" s="128">
        <v>42</v>
      </c>
    </row>
    <row r="248" spans="1:14" x14ac:dyDescent="0.4">
      <c r="B248" s="140" t="s">
        <v>499</v>
      </c>
      <c r="C248" s="142"/>
      <c r="D248" s="140" t="s">
        <v>24</v>
      </c>
      <c r="E248" s="140" t="e">
        <v>#N/A</v>
      </c>
      <c r="F248" s="112" t="e">
        <f t="shared" si="3"/>
        <v>#N/A</v>
      </c>
      <c r="K248" s="118">
        <v>247</v>
      </c>
      <c r="L248" s="119" t="s">
        <v>219</v>
      </c>
      <c r="M248" s="122" t="s">
        <v>534</v>
      </c>
      <c r="N248" s="128">
        <v>42</v>
      </c>
    </row>
    <row r="249" spans="1:14" x14ac:dyDescent="0.4">
      <c r="B249" s="140" t="s">
        <v>500</v>
      </c>
      <c r="C249" s="140"/>
      <c r="D249" s="140" t="s">
        <v>24</v>
      </c>
      <c r="E249" s="140" t="e">
        <v>#N/A</v>
      </c>
      <c r="F249" s="112" t="e">
        <f t="shared" si="3"/>
        <v>#N/A</v>
      </c>
      <c r="K249" s="118">
        <v>248</v>
      </c>
      <c r="L249" s="119" t="s">
        <v>147</v>
      </c>
      <c r="M249" s="120" t="s">
        <v>535</v>
      </c>
      <c r="N249" s="128">
        <v>42</v>
      </c>
    </row>
    <row r="250" spans="1:14" x14ac:dyDescent="0.4">
      <c r="B250" s="140" t="s">
        <v>501</v>
      </c>
      <c r="C250" s="140"/>
      <c r="D250" s="140" t="s">
        <v>24</v>
      </c>
      <c r="E250" s="140" t="e">
        <v>#N/A</v>
      </c>
      <c r="F250" s="112" t="e">
        <f t="shared" si="3"/>
        <v>#N/A</v>
      </c>
      <c r="K250" s="118">
        <v>249</v>
      </c>
      <c r="L250" s="119" t="s">
        <v>235</v>
      </c>
      <c r="M250" s="122" t="s">
        <v>535</v>
      </c>
      <c r="N250" s="128">
        <v>42</v>
      </c>
    </row>
    <row r="251" spans="1:14" x14ac:dyDescent="0.4">
      <c r="B251" s="130"/>
      <c r="C251" s="130"/>
      <c r="D251" s="130"/>
      <c r="E251" s="130"/>
      <c r="K251" s="118">
        <v>250</v>
      </c>
      <c r="L251" s="123" t="s">
        <v>518</v>
      </c>
      <c r="M251" s="122" t="s">
        <v>535</v>
      </c>
      <c r="N251" s="128">
        <v>42</v>
      </c>
    </row>
    <row r="252" spans="1:14" x14ac:dyDescent="0.4">
      <c r="A252" s="110" t="s">
        <v>601</v>
      </c>
      <c r="B252" s="144" t="s">
        <v>39</v>
      </c>
      <c r="C252" s="144" t="s">
        <v>597</v>
      </c>
      <c r="D252" s="144" t="s">
        <v>27</v>
      </c>
      <c r="E252" s="144">
        <v>11</v>
      </c>
      <c r="F252" s="112" t="str">
        <f t="shared" si="3"/>
        <v>청</v>
      </c>
      <c r="K252" s="118">
        <v>251</v>
      </c>
      <c r="L252" s="119" t="s">
        <v>237</v>
      </c>
      <c r="M252" s="122" t="s">
        <v>536</v>
      </c>
      <c r="N252" s="128">
        <v>42</v>
      </c>
    </row>
    <row r="253" spans="1:14" x14ac:dyDescent="0.4">
      <c r="A253" s="110" t="s">
        <v>601</v>
      </c>
      <c r="B253" s="144" t="s">
        <v>28</v>
      </c>
      <c r="C253" s="145" t="s">
        <v>610</v>
      </c>
      <c r="D253" s="144" t="s">
        <v>27</v>
      </c>
      <c r="E253" s="144">
        <v>31</v>
      </c>
      <c r="F253" s="112" t="str">
        <f t="shared" si="3"/>
        <v>청</v>
      </c>
      <c r="K253" s="118">
        <v>252</v>
      </c>
      <c r="L253" s="119" t="s">
        <v>515</v>
      </c>
      <c r="M253" s="122" t="s">
        <v>536</v>
      </c>
      <c r="N253" s="128">
        <v>42</v>
      </c>
    </row>
    <row r="254" spans="1:14" x14ac:dyDescent="0.4">
      <c r="B254" s="144" t="s">
        <v>29</v>
      </c>
      <c r="C254" s="144" t="s">
        <v>472</v>
      </c>
      <c r="D254" s="144" t="s">
        <v>27</v>
      </c>
      <c r="E254" s="144">
        <v>31</v>
      </c>
      <c r="F254" s="112" t="str">
        <f t="shared" si="3"/>
        <v>청</v>
      </c>
      <c r="K254" s="118">
        <v>253</v>
      </c>
      <c r="L254" s="119" t="s">
        <v>183</v>
      </c>
      <c r="M254" s="122" t="s">
        <v>536</v>
      </c>
      <c r="N254" s="128">
        <v>42</v>
      </c>
    </row>
    <row r="255" spans="1:14" x14ac:dyDescent="0.4">
      <c r="B255" s="144" t="s">
        <v>30</v>
      </c>
      <c r="C255" s="144" t="s">
        <v>467</v>
      </c>
      <c r="D255" s="144" t="s">
        <v>27</v>
      </c>
      <c r="E255" s="144">
        <v>31</v>
      </c>
      <c r="F255" s="112" t="str">
        <f t="shared" si="3"/>
        <v>청</v>
      </c>
      <c r="K255" s="118">
        <v>254</v>
      </c>
      <c r="L255" s="119" t="s">
        <v>238</v>
      </c>
      <c r="M255" s="122" t="s">
        <v>536</v>
      </c>
      <c r="N255" s="128">
        <v>42</v>
      </c>
    </row>
    <row r="256" spans="1:14" x14ac:dyDescent="0.4">
      <c r="B256" s="144" t="s">
        <v>31</v>
      </c>
      <c r="C256" s="144" t="s">
        <v>543</v>
      </c>
      <c r="D256" s="144" t="s">
        <v>27</v>
      </c>
      <c r="E256" s="144">
        <v>31</v>
      </c>
      <c r="F256" s="112" t="str">
        <f t="shared" si="3"/>
        <v>청</v>
      </c>
      <c r="K256" s="118">
        <v>255</v>
      </c>
      <c r="L256" s="119" t="s">
        <v>243</v>
      </c>
      <c r="M256" s="122" t="s">
        <v>458</v>
      </c>
      <c r="N256" s="128">
        <v>42</v>
      </c>
    </row>
    <row r="257" spans="1:14" x14ac:dyDescent="0.4">
      <c r="B257" s="144" t="s">
        <v>32</v>
      </c>
      <c r="C257" s="144" t="s">
        <v>202</v>
      </c>
      <c r="D257" s="144" t="s">
        <v>27</v>
      </c>
      <c r="E257" s="144">
        <v>32</v>
      </c>
      <c r="F257" s="112" t="str">
        <f t="shared" si="3"/>
        <v>청</v>
      </c>
      <c r="K257" s="118">
        <v>256</v>
      </c>
      <c r="L257" s="123" t="s">
        <v>575</v>
      </c>
      <c r="M257" s="122" t="s">
        <v>458</v>
      </c>
      <c r="N257" s="128">
        <v>42</v>
      </c>
    </row>
    <row r="258" spans="1:14" x14ac:dyDescent="0.4">
      <c r="B258" s="144" t="s">
        <v>33</v>
      </c>
      <c r="C258" s="144" t="s">
        <v>542</v>
      </c>
      <c r="D258" s="144" t="s">
        <v>27</v>
      </c>
      <c r="E258" s="144">
        <v>31</v>
      </c>
      <c r="F258" s="112" t="str">
        <f t="shared" si="3"/>
        <v>청</v>
      </c>
      <c r="K258" s="118">
        <v>257</v>
      </c>
      <c r="L258" s="119" t="s">
        <v>354</v>
      </c>
      <c r="M258" s="122" t="s">
        <v>534</v>
      </c>
      <c r="N258" s="128">
        <v>43</v>
      </c>
    </row>
    <row r="259" spans="1:14" x14ac:dyDescent="0.4">
      <c r="B259" s="144" t="s">
        <v>34</v>
      </c>
      <c r="C259" s="146" t="s">
        <v>274</v>
      </c>
      <c r="D259" s="144" t="s">
        <v>27</v>
      </c>
      <c r="E259" s="144">
        <v>11</v>
      </c>
      <c r="F259" s="112" t="str">
        <f t="shared" ref="F259:F322" si="4">VLOOKUP(C259,L:N,2,0)</f>
        <v>청</v>
      </c>
      <c r="K259" s="118">
        <v>258</v>
      </c>
      <c r="L259" s="119" t="s">
        <v>301</v>
      </c>
      <c r="M259" s="120" t="s">
        <v>535</v>
      </c>
      <c r="N259" s="128">
        <v>43</v>
      </c>
    </row>
    <row r="260" spans="1:14" x14ac:dyDescent="0.4">
      <c r="B260" s="144" t="s">
        <v>35</v>
      </c>
      <c r="C260" s="146" t="s">
        <v>133</v>
      </c>
      <c r="D260" s="144" t="s">
        <v>27</v>
      </c>
      <c r="E260" s="144">
        <v>12</v>
      </c>
      <c r="F260" s="112" t="str">
        <f t="shared" si="4"/>
        <v>청</v>
      </c>
      <c r="K260" s="118">
        <v>259</v>
      </c>
      <c r="L260" s="119" t="s">
        <v>337</v>
      </c>
      <c r="M260" s="122" t="s">
        <v>534</v>
      </c>
      <c r="N260" s="128">
        <v>43</v>
      </c>
    </row>
    <row r="261" spans="1:14" x14ac:dyDescent="0.4">
      <c r="B261" s="144" t="s">
        <v>36</v>
      </c>
      <c r="C261" s="144" t="s">
        <v>229</v>
      </c>
      <c r="D261" s="144" t="s">
        <v>27</v>
      </c>
      <c r="E261" s="144">
        <v>21</v>
      </c>
      <c r="F261" s="112" t="str">
        <f t="shared" si="4"/>
        <v>청</v>
      </c>
      <c r="K261" s="118">
        <v>260</v>
      </c>
      <c r="L261" s="119" t="s">
        <v>282</v>
      </c>
      <c r="M261" s="120" t="s">
        <v>535</v>
      </c>
      <c r="N261" s="128">
        <v>43</v>
      </c>
    </row>
    <row r="262" spans="1:14" x14ac:dyDescent="0.4">
      <c r="B262" s="144" t="s">
        <v>102</v>
      </c>
      <c r="C262" s="144" t="s">
        <v>233</v>
      </c>
      <c r="D262" s="144" t="s">
        <v>27</v>
      </c>
      <c r="E262" s="144">
        <v>42</v>
      </c>
      <c r="F262" s="112" t="str">
        <f t="shared" si="4"/>
        <v>청</v>
      </c>
      <c r="K262" s="118">
        <v>261</v>
      </c>
      <c r="L262" s="119" t="s">
        <v>356</v>
      </c>
      <c r="M262" s="122" t="s">
        <v>534</v>
      </c>
      <c r="N262" s="128">
        <v>43</v>
      </c>
    </row>
    <row r="263" spans="1:14" x14ac:dyDescent="0.4">
      <c r="B263" s="144" t="s">
        <v>103</v>
      </c>
      <c r="C263" s="144" t="s">
        <v>243</v>
      </c>
      <c r="D263" s="144" t="s">
        <v>27</v>
      </c>
      <c r="E263" s="144">
        <v>42</v>
      </c>
      <c r="F263" s="112" t="str">
        <f t="shared" si="4"/>
        <v>청</v>
      </c>
      <c r="K263" s="118">
        <v>262</v>
      </c>
      <c r="L263" s="119" t="s">
        <v>303</v>
      </c>
      <c r="M263" s="122" t="s">
        <v>535</v>
      </c>
      <c r="N263" s="128">
        <v>43</v>
      </c>
    </row>
    <row r="264" spans="1:14" x14ac:dyDescent="0.4">
      <c r="B264" s="144" t="s">
        <v>104</v>
      </c>
      <c r="C264" s="145" t="s">
        <v>186</v>
      </c>
      <c r="D264" s="144" t="s">
        <v>27</v>
      </c>
      <c r="E264" s="144">
        <v>31</v>
      </c>
      <c r="F264" s="112" t="str">
        <f t="shared" si="4"/>
        <v>청</v>
      </c>
      <c r="K264" s="118">
        <v>263</v>
      </c>
      <c r="L264" s="119" t="s">
        <v>217</v>
      </c>
      <c r="M264" s="122" t="s">
        <v>534</v>
      </c>
      <c r="N264" s="128">
        <v>43</v>
      </c>
    </row>
    <row r="265" spans="1:14" x14ac:dyDescent="0.4">
      <c r="B265" s="144" t="s">
        <v>105</v>
      </c>
      <c r="C265" s="146" t="s">
        <v>132</v>
      </c>
      <c r="D265" s="144" t="s">
        <v>27</v>
      </c>
      <c r="E265" s="144">
        <v>22</v>
      </c>
      <c r="F265" s="112" t="str">
        <f t="shared" si="4"/>
        <v>청</v>
      </c>
      <c r="K265" s="118">
        <v>264</v>
      </c>
      <c r="L265" s="119" t="s">
        <v>221</v>
      </c>
      <c r="M265" s="120" t="s">
        <v>535</v>
      </c>
      <c r="N265" s="128">
        <v>43</v>
      </c>
    </row>
    <row r="266" spans="1:14" x14ac:dyDescent="0.4">
      <c r="B266" s="144" t="s">
        <v>106</v>
      </c>
      <c r="C266" s="146" t="s">
        <v>468</v>
      </c>
      <c r="D266" s="144" t="s">
        <v>27</v>
      </c>
      <c r="E266" s="144">
        <v>32</v>
      </c>
      <c r="F266" s="112" t="str">
        <f t="shared" si="4"/>
        <v>청</v>
      </c>
      <c r="K266" s="118">
        <v>265</v>
      </c>
      <c r="L266" s="123" t="s">
        <v>348</v>
      </c>
      <c r="M266" s="122" t="s">
        <v>534</v>
      </c>
      <c r="N266" s="128">
        <v>43</v>
      </c>
    </row>
    <row r="267" spans="1:14" x14ac:dyDescent="0.4">
      <c r="B267" s="144" t="s">
        <v>107</v>
      </c>
      <c r="C267" s="145" t="s">
        <v>240</v>
      </c>
      <c r="D267" s="144" t="s">
        <v>27</v>
      </c>
      <c r="E267" s="144">
        <v>21</v>
      </c>
      <c r="F267" s="112" t="str">
        <f t="shared" si="4"/>
        <v>청</v>
      </c>
      <c r="K267" s="118">
        <v>266</v>
      </c>
      <c r="L267" s="119" t="s">
        <v>292</v>
      </c>
      <c r="M267" s="122" t="s">
        <v>535</v>
      </c>
      <c r="N267" s="128">
        <v>43</v>
      </c>
    </row>
    <row r="268" spans="1:14" x14ac:dyDescent="0.4">
      <c r="B268" s="144" t="s">
        <v>108</v>
      </c>
      <c r="C268" s="144" t="s">
        <v>131</v>
      </c>
      <c r="D268" s="144" t="s">
        <v>27</v>
      </c>
      <c r="E268" s="144">
        <v>32</v>
      </c>
      <c r="F268" s="112" t="str">
        <f t="shared" si="4"/>
        <v>청</v>
      </c>
      <c r="K268" s="118">
        <v>267</v>
      </c>
      <c r="L268" s="123" t="s">
        <v>176</v>
      </c>
      <c r="M268" s="122" t="s">
        <v>534</v>
      </c>
      <c r="N268" s="128">
        <v>43</v>
      </c>
    </row>
    <row r="269" spans="1:14" x14ac:dyDescent="0.4">
      <c r="B269" s="144" t="s">
        <v>109</v>
      </c>
      <c r="C269" s="144" t="s">
        <v>150</v>
      </c>
      <c r="D269" s="144" t="s">
        <v>27</v>
      </c>
      <c r="E269" s="144">
        <v>21</v>
      </c>
      <c r="F269" s="112" t="str">
        <f t="shared" si="4"/>
        <v>청</v>
      </c>
      <c r="K269" s="118">
        <v>268</v>
      </c>
      <c r="L269" s="119" t="s">
        <v>249</v>
      </c>
      <c r="M269" s="122" t="s">
        <v>534</v>
      </c>
      <c r="N269" s="128">
        <v>43</v>
      </c>
    </row>
    <row r="270" spans="1:14" x14ac:dyDescent="0.4">
      <c r="B270" s="144" t="s">
        <v>110</v>
      </c>
      <c r="C270" s="144" t="s">
        <v>451</v>
      </c>
      <c r="D270" s="144" t="s">
        <v>27</v>
      </c>
      <c r="E270" s="144">
        <v>32</v>
      </c>
      <c r="F270" s="112" t="str">
        <f t="shared" si="4"/>
        <v>청</v>
      </c>
      <c r="K270" s="118">
        <v>269</v>
      </c>
      <c r="L270" s="123" t="s">
        <v>563</v>
      </c>
      <c r="M270" s="120" t="s">
        <v>534</v>
      </c>
      <c r="N270" s="128">
        <v>43</v>
      </c>
    </row>
    <row r="271" spans="1:14" x14ac:dyDescent="0.4">
      <c r="A271" s="110" t="s">
        <v>614</v>
      </c>
      <c r="B271" s="144" t="s">
        <v>111</v>
      </c>
      <c r="C271" s="144" t="s">
        <v>225</v>
      </c>
      <c r="D271" s="144" t="s">
        <v>27</v>
      </c>
      <c r="E271" s="144">
        <v>42</v>
      </c>
      <c r="F271" s="112" t="str">
        <f t="shared" si="4"/>
        <v>청</v>
      </c>
      <c r="K271" s="118">
        <v>270</v>
      </c>
      <c r="L271" s="119" t="s">
        <v>569</v>
      </c>
      <c r="M271" s="122" t="s">
        <v>536</v>
      </c>
      <c r="N271" s="128">
        <v>43</v>
      </c>
    </row>
    <row r="272" spans="1:14" x14ac:dyDescent="0.4">
      <c r="B272" s="144" t="s">
        <v>112</v>
      </c>
      <c r="C272" s="146" t="s">
        <v>276</v>
      </c>
      <c r="D272" s="144" t="s">
        <v>27</v>
      </c>
      <c r="E272" s="144">
        <v>11</v>
      </c>
      <c r="F272" s="112" t="str">
        <f t="shared" si="4"/>
        <v>청</v>
      </c>
      <c r="K272" s="118">
        <v>271</v>
      </c>
      <c r="L272" s="119" t="s">
        <v>564</v>
      </c>
      <c r="M272" s="122" t="s">
        <v>534</v>
      </c>
      <c r="N272" s="128">
        <v>43</v>
      </c>
    </row>
    <row r="273" spans="1:14" x14ac:dyDescent="0.4">
      <c r="B273" s="144" t="s">
        <v>113</v>
      </c>
      <c r="C273" s="147" t="s">
        <v>185</v>
      </c>
      <c r="D273" s="144" t="s">
        <v>27</v>
      </c>
      <c r="E273" s="144">
        <v>11</v>
      </c>
      <c r="F273" s="112" t="str">
        <f t="shared" si="4"/>
        <v>청</v>
      </c>
      <c r="K273" s="118">
        <v>272</v>
      </c>
      <c r="L273" s="119" t="s">
        <v>470</v>
      </c>
      <c r="M273" s="122" t="s">
        <v>535</v>
      </c>
      <c r="N273" s="128">
        <v>43</v>
      </c>
    </row>
    <row r="274" spans="1:14" x14ac:dyDescent="0.4">
      <c r="B274" s="144" t="s">
        <v>114</v>
      </c>
      <c r="C274" s="145" t="s">
        <v>193</v>
      </c>
      <c r="D274" s="144" t="s">
        <v>27</v>
      </c>
      <c r="E274" s="144">
        <v>11</v>
      </c>
      <c r="F274" s="112" t="str">
        <f t="shared" si="4"/>
        <v>청</v>
      </c>
      <c r="K274" s="118">
        <v>273</v>
      </c>
      <c r="L274" s="123" t="s">
        <v>253</v>
      </c>
      <c r="M274" s="120" t="s">
        <v>535</v>
      </c>
      <c r="N274" s="128">
        <v>43</v>
      </c>
    </row>
    <row r="275" spans="1:14" x14ac:dyDescent="0.4">
      <c r="B275" s="144" t="s">
        <v>115</v>
      </c>
      <c r="C275" s="144" t="s">
        <v>242</v>
      </c>
      <c r="D275" s="144" t="s">
        <v>27</v>
      </c>
      <c r="E275" s="144">
        <v>11</v>
      </c>
      <c r="F275" s="112" t="str">
        <f t="shared" si="4"/>
        <v>청</v>
      </c>
      <c r="K275" s="118">
        <v>274</v>
      </c>
      <c r="L275" s="119" t="s">
        <v>190</v>
      </c>
      <c r="M275" s="122" t="s">
        <v>535</v>
      </c>
      <c r="N275" s="128">
        <v>43</v>
      </c>
    </row>
    <row r="276" spans="1:14" x14ac:dyDescent="0.4">
      <c r="A276" s="110" t="s">
        <v>601</v>
      </c>
      <c r="B276" s="144" t="s">
        <v>116</v>
      </c>
      <c r="C276" s="144" t="s">
        <v>598</v>
      </c>
      <c r="D276" s="144" t="s">
        <v>27</v>
      </c>
      <c r="E276" s="144">
        <v>11</v>
      </c>
      <c r="F276" s="112" t="str">
        <f t="shared" si="4"/>
        <v>청</v>
      </c>
      <c r="K276" s="118">
        <v>275</v>
      </c>
      <c r="L276" s="119" t="s">
        <v>439</v>
      </c>
      <c r="M276" s="122" t="s">
        <v>535</v>
      </c>
      <c r="N276" s="128">
        <v>43</v>
      </c>
    </row>
    <row r="277" spans="1:14" ht="19.2" x14ac:dyDescent="0.4">
      <c r="B277" s="144" t="s">
        <v>117</v>
      </c>
      <c r="C277" s="144" t="s">
        <v>549</v>
      </c>
      <c r="D277" s="144" t="s">
        <v>27</v>
      </c>
      <c r="E277" s="144">
        <v>22</v>
      </c>
      <c r="F277" s="112" t="str">
        <f t="shared" si="4"/>
        <v>청</v>
      </c>
      <c r="K277" s="118">
        <v>276</v>
      </c>
      <c r="L277" s="148" t="s">
        <v>565</v>
      </c>
      <c r="M277" s="126" t="s">
        <v>535</v>
      </c>
      <c r="N277" s="128">
        <v>43</v>
      </c>
    </row>
    <row r="278" spans="1:14" ht="19.2" x14ac:dyDescent="0.4">
      <c r="B278" s="144" t="s">
        <v>118</v>
      </c>
      <c r="C278" s="145" t="s">
        <v>528</v>
      </c>
      <c r="D278" s="144" t="s">
        <v>27</v>
      </c>
      <c r="E278" s="144">
        <v>12</v>
      </c>
      <c r="F278" s="112" t="str">
        <f t="shared" si="4"/>
        <v>청</v>
      </c>
      <c r="K278" s="118">
        <v>277</v>
      </c>
      <c r="L278" s="148" t="s">
        <v>138</v>
      </c>
      <c r="M278" s="126" t="s">
        <v>535</v>
      </c>
      <c r="N278" s="128">
        <v>43</v>
      </c>
    </row>
    <row r="279" spans="1:14" ht="19.2" x14ac:dyDescent="0.4">
      <c r="B279" s="144" t="s">
        <v>119</v>
      </c>
      <c r="C279" s="145" t="s">
        <v>134</v>
      </c>
      <c r="D279" s="144" t="s">
        <v>27</v>
      </c>
      <c r="E279" s="144">
        <v>41</v>
      </c>
      <c r="F279" s="112" t="str">
        <f t="shared" si="4"/>
        <v>청</v>
      </c>
      <c r="K279" s="118">
        <v>278</v>
      </c>
      <c r="L279" s="148" t="s">
        <v>449</v>
      </c>
      <c r="M279" s="126" t="s">
        <v>535</v>
      </c>
      <c r="N279" s="128">
        <v>43</v>
      </c>
    </row>
    <row r="280" spans="1:14" ht="19.2" x14ac:dyDescent="0.4">
      <c r="B280" s="144" t="s">
        <v>120</v>
      </c>
      <c r="C280" s="144" t="s">
        <v>129</v>
      </c>
      <c r="D280" s="144" t="s">
        <v>27</v>
      </c>
      <c r="E280" s="144">
        <v>41</v>
      </c>
      <c r="F280" s="112" t="str">
        <f t="shared" si="4"/>
        <v>청</v>
      </c>
      <c r="K280" s="118">
        <v>279</v>
      </c>
      <c r="L280" s="148" t="s">
        <v>463</v>
      </c>
      <c r="M280" s="126" t="s">
        <v>535</v>
      </c>
      <c r="N280" s="128">
        <v>43</v>
      </c>
    </row>
    <row r="281" spans="1:14" ht="19.2" x14ac:dyDescent="0.4">
      <c r="B281" s="144" t="s">
        <v>121</v>
      </c>
      <c r="C281" s="144" t="s">
        <v>261</v>
      </c>
      <c r="D281" s="144" t="s">
        <v>27</v>
      </c>
      <c r="E281" s="144">
        <v>41</v>
      </c>
      <c r="F281" s="112" t="str">
        <f t="shared" si="4"/>
        <v>청</v>
      </c>
      <c r="K281" s="118">
        <v>280</v>
      </c>
      <c r="L281" s="148" t="s">
        <v>523</v>
      </c>
      <c r="M281" s="126" t="s">
        <v>536</v>
      </c>
      <c r="N281" s="128">
        <v>43</v>
      </c>
    </row>
    <row r="282" spans="1:14" ht="19.2" x14ac:dyDescent="0.4">
      <c r="B282" s="144" t="s">
        <v>122</v>
      </c>
      <c r="C282" s="146" t="s">
        <v>230</v>
      </c>
      <c r="D282" s="144" t="s">
        <v>27</v>
      </c>
      <c r="E282" s="144">
        <v>32</v>
      </c>
      <c r="F282" s="112" t="str">
        <f t="shared" si="4"/>
        <v>청</v>
      </c>
      <c r="K282" s="118">
        <v>281</v>
      </c>
      <c r="L282" s="148" t="s">
        <v>566</v>
      </c>
      <c r="M282" s="126" t="s">
        <v>536</v>
      </c>
      <c r="N282" s="128">
        <v>43</v>
      </c>
    </row>
    <row r="283" spans="1:14" ht="19.2" x14ac:dyDescent="0.4">
      <c r="B283" s="144" t="s">
        <v>123</v>
      </c>
      <c r="C283" s="144" t="s">
        <v>545</v>
      </c>
      <c r="D283" s="144" t="s">
        <v>27</v>
      </c>
      <c r="E283" s="144">
        <v>11</v>
      </c>
      <c r="F283" s="112" t="str">
        <f t="shared" si="4"/>
        <v>청</v>
      </c>
      <c r="K283" s="118">
        <v>282</v>
      </c>
      <c r="L283" s="148" t="s">
        <v>182</v>
      </c>
      <c r="M283" s="126" t="s">
        <v>536</v>
      </c>
      <c r="N283" s="128">
        <v>43</v>
      </c>
    </row>
    <row r="284" spans="1:14" ht="19.2" x14ac:dyDescent="0.4">
      <c r="B284" s="144" t="s">
        <v>124</v>
      </c>
      <c r="C284" s="144" t="s">
        <v>561</v>
      </c>
      <c r="D284" s="144" t="s">
        <v>27</v>
      </c>
      <c r="E284" s="144">
        <v>43</v>
      </c>
      <c r="F284" s="112" t="str">
        <f t="shared" si="4"/>
        <v>청</v>
      </c>
      <c r="K284" s="118">
        <v>283</v>
      </c>
      <c r="L284" s="148" t="s">
        <v>148</v>
      </c>
      <c r="M284" s="126" t="s">
        <v>536</v>
      </c>
      <c r="N284" s="128">
        <v>43</v>
      </c>
    </row>
    <row r="285" spans="1:14" ht="19.2" x14ac:dyDescent="0.4">
      <c r="B285" s="144" t="s">
        <v>125</v>
      </c>
      <c r="C285" s="144" t="s">
        <v>215</v>
      </c>
      <c r="D285" s="144" t="s">
        <v>27</v>
      </c>
      <c r="E285" s="144">
        <v>43</v>
      </c>
      <c r="F285" s="112" t="str">
        <f t="shared" si="4"/>
        <v>청</v>
      </c>
      <c r="K285" s="118">
        <v>284</v>
      </c>
      <c r="L285" s="148" t="s">
        <v>256</v>
      </c>
      <c r="M285" s="126" t="s">
        <v>458</v>
      </c>
      <c r="N285" s="128">
        <v>43</v>
      </c>
    </row>
    <row r="286" spans="1:14" ht="19.2" x14ac:dyDescent="0.4">
      <c r="B286" s="144" t="s">
        <v>126</v>
      </c>
      <c r="C286" s="144" t="s">
        <v>184</v>
      </c>
      <c r="D286" s="144" t="s">
        <v>27</v>
      </c>
      <c r="E286" s="144">
        <v>12</v>
      </c>
      <c r="F286" s="112" t="str">
        <f t="shared" si="4"/>
        <v>청</v>
      </c>
      <c r="K286" s="118">
        <v>285</v>
      </c>
      <c r="L286" s="148" t="s">
        <v>576</v>
      </c>
      <c r="M286" s="126" t="s">
        <v>458</v>
      </c>
      <c r="N286" s="128">
        <v>43</v>
      </c>
    </row>
    <row r="287" spans="1:14" ht="19.2" x14ac:dyDescent="0.4">
      <c r="B287" s="144" t="s">
        <v>127</v>
      </c>
      <c r="C287" s="144" t="s">
        <v>456</v>
      </c>
      <c r="D287" s="144" t="s">
        <v>27</v>
      </c>
      <c r="E287" s="144">
        <v>41</v>
      </c>
      <c r="F287" s="112" t="str">
        <f t="shared" si="4"/>
        <v>청</v>
      </c>
      <c r="K287" s="118">
        <v>286</v>
      </c>
      <c r="L287" s="148" t="s">
        <v>561</v>
      </c>
      <c r="M287" s="126" t="s">
        <v>458</v>
      </c>
      <c r="N287" s="128">
        <v>43</v>
      </c>
    </row>
    <row r="288" spans="1:14" ht="19.2" x14ac:dyDescent="0.4">
      <c r="B288" s="144" t="s">
        <v>157</v>
      </c>
      <c r="C288" s="144" t="s">
        <v>135</v>
      </c>
      <c r="D288" s="144" t="s">
        <v>27</v>
      </c>
      <c r="E288" s="144">
        <v>12</v>
      </c>
      <c r="F288" s="112" t="str">
        <f t="shared" si="4"/>
        <v>청</v>
      </c>
      <c r="K288" s="118">
        <v>287</v>
      </c>
      <c r="L288" s="148" t="s">
        <v>151</v>
      </c>
      <c r="M288" s="126" t="s">
        <v>458</v>
      </c>
      <c r="N288" s="128">
        <v>43</v>
      </c>
    </row>
    <row r="289" spans="1:14" ht="19.2" x14ac:dyDescent="0.4">
      <c r="B289" s="144" t="s">
        <v>158</v>
      </c>
      <c r="C289" s="144" t="s">
        <v>128</v>
      </c>
      <c r="D289" s="144" t="s">
        <v>27</v>
      </c>
      <c r="E289" s="144">
        <v>41</v>
      </c>
      <c r="F289" s="112" t="str">
        <f t="shared" si="4"/>
        <v>청</v>
      </c>
      <c r="K289" s="118">
        <v>288</v>
      </c>
      <c r="L289" s="148" t="s">
        <v>215</v>
      </c>
      <c r="M289" s="126" t="s">
        <v>458</v>
      </c>
      <c r="N289" s="128">
        <v>43</v>
      </c>
    </row>
    <row r="290" spans="1:14" ht="19.2" x14ac:dyDescent="0.4">
      <c r="B290" s="144" t="s">
        <v>159</v>
      </c>
      <c r="C290" s="146" t="s">
        <v>256</v>
      </c>
      <c r="D290" s="144" t="s">
        <v>27</v>
      </c>
      <c r="E290" s="144">
        <v>43</v>
      </c>
      <c r="F290" s="112" t="str">
        <f t="shared" si="4"/>
        <v>청</v>
      </c>
      <c r="K290" s="118">
        <v>289</v>
      </c>
      <c r="L290" s="148" t="s">
        <v>462</v>
      </c>
      <c r="M290" s="126" t="s">
        <v>458</v>
      </c>
      <c r="N290" s="128">
        <v>43</v>
      </c>
    </row>
    <row r="291" spans="1:14" ht="19.2" x14ac:dyDescent="0.4">
      <c r="B291" s="144" t="s">
        <v>160</v>
      </c>
      <c r="C291" s="144" t="s">
        <v>576</v>
      </c>
      <c r="D291" s="144" t="s">
        <v>27</v>
      </c>
      <c r="E291" s="144">
        <v>43</v>
      </c>
      <c r="F291" s="112" t="str">
        <f t="shared" si="4"/>
        <v>청</v>
      </c>
      <c r="K291" s="118">
        <v>290</v>
      </c>
      <c r="L291" s="148" t="s">
        <v>587</v>
      </c>
      <c r="M291" s="126" t="s">
        <v>458</v>
      </c>
      <c r="N291" s="128">
        <v>43</v>
      </c>
    </row>
    <row r="292" spans="1:14" x14ac:dyDescent="0.4">
      <c r="B292" s="144" t="s">
        <v>161</v>
      </c>
      <c r="C292" s="144" t="s">
        <v>228</v>
      </c>
      <c r="D292" s="144" t="s">
        <v>27</v>
      </c>
      <c r="E292" s="144">
        <v>11</v>
      </c>
      <c r="F292" s="112" t="str">
        <f t="shared" si="4"/>
        <v>청</v>
      </c>
    </row>
    <row r="293" spans="1:14" x14ac:dyDescent="0.4">
      <c r="B293" s="144" t="s">
        <v>162</v>
      </c>
      <c r="C293" s="144" t="s">
        <v>452</v>
      </c>
      <c r="D293" s="144" t="s">
        <v>27</v>
      </c>
      <c r="E293" s="144">
        <v>41</v>
      </c>
      <c r="F293" s="112" t="str">
        <f t="shared" si="4"/>
        <v>청</v>
      </c>
    </row>
    <row r="294" spans="1:14" x14ac:dyDescent="0.4">
      <c r="A294" s="110" t="s">
        <v>601</v>
      </c>
      <c r="B294" s="144" t="s">
        <v>163</v>
      </c>
      <c r="C294" s="144" t="s">
        <v>599</v>
      </c>
      <c r="D294" s="144" t="s">
        <v>27</v>
      </c>
      <c r="E294" s="144">
        <v>11</v>
      </c>
      <c r="F294" s="112" t="str">
        <f t="shared" si="4"/>
        <v>청</v>
      </c>
    </row>
    <row r="295" spans="1:14" x14ac:dyDescent="0.4">
      <c r="B295" s="144" t="s">
        <v>164</v>
      </c>
      <c r="C295" s="144" t="s">
        <v>174</v>
      </c>
      <c r="D295" s="144" t="s">
        <v>27</v>
      </c>
      <c r="E295" s="144">
        <v>21</v>
      </c>
      <c r="F295" s="112" t="str">
        <f t="shared" si="4"/>
        <v>청</v>
      </c>
    </row>
    <row r="296" spans="1:14" x14ac:dyDescent="0.4">
      <c r="A296" s="110" t="s">
        <v>614</v>
      </c>
      <c r="B296" s="144" t="s">
        <v>166</v>
      </c>
      <c r="C296" s="146" t="s">
        <v>575</v>
      </c>
      <c r="D296" s="144" t="s">
        <v>27</v>
      </c>
      <c r="E296" s="144">
        <v>42</v>
      </c>
      <c r="F296" s="112" t="str">
        <f t="shared" si="4"/>
        <v>청</v>
      </c>
    </row>
    <row r="297" spans="1:14" x14ac:dyDescent="0.4">
      <c r="B297" s="144" t="s">
        <v>167</v>
      </c>
      <c r="C297" s="144" t="s">
        <v>151</v>
      </c>
      <c r="D297" s="144" t="s">
        <v>27</v>
      </c>
      <c r="E297" s="144">
        <v>43</v>
      </c>
      <c r="F297" s="112" t="str">
        <f t="shared" si="4"/>
        <v>청</v>
      </c>
    </row>
    <row r="298" spans="1:14" x14ac:dyDescent="0.4">
      <c r="B298" s="144" t="s">
        <v>168</v>
      </c>
      <c r="C298" s="144" t="s">
        <v>537</v>
      </c>
      <c r="D298" s="144" t="s">
        <v>27</v>
      </c>
      <c r="E298" s="144">
        <v>11</v>
      </c>
      <c r="F298" s="112" t="str">
        <f t="shared" si="4"/>
        <v>청</v>
      </c>
    </row>
    <row r="299" spans="1:14" x14ac:dyDescent="0.4">
      <c r="B299" s="144" t="s">
        <v>169</v>
      </c>
      <c r="C299" s="144" t="s">
        <v>277</v>
      </c>
      <c r="D299" s="144" t="s">
        <v>27</v>
      </c>
      <c r="E299" s="144">
        <v>41</v>
      </c>
      <c r="F299" s="112" t="str">
        <f t="shared" si="4"/>
        <v>청</v>
      </c>
    </row>
    <row r="300" spans="1:14" x14ac:dyDescent="0.4">
      <c r="A300" s="110" t="s">
        <v>601</v>
      </c>
      <c r="B300" s="144" t="s">
        <v>170</v>
      </c>
      <c r="C300" s="144" t="s">
        <v>617</v>
      </c>
      <c r="D300" s="144" t="s">
        <v>27</v>
      </c>
      <c r="E300" s="144">
        <v>42</v>
      </c>
      <c r="F300" s="112" t="str">
        <f t="shared" si="4"/>
        <v>청</v>
      </c>
    </row>
    <row r="301" spans="1:14" x14ac:dyDescent="0.4">
      <c r="B301" s="144" t="s">
        <v>203</v>
      </c>
      <c r="C301" s="144" t="s">
        <v>462</v>
      </c>
      <c r="D301" s="144" t="s">
        <v>27</v>
      </c>
      <c r="E301" s="144">
        <v>43</v>
      </c>
      <c r="F301" s="112" t="str">
        <f t="shared" si="4"/>
        <v>청</v>
      </c>
    </row>
    <row r="302" spans="1:14" x14ac:dyDescent="0.4">
      <c r="B302" s="144" t="s">
        <v>204</v>
      </c>
      <c r="C302" s="144" t="s">
        <v>267</v>
      </c>
      <c r="D302" s="144" t="s">
        <v>27</v>
      </c>
      <c r="E302" s="144">
        <v>12</v>
      </c>
      <c r="F302" s="112" t="str">
        <f t="shared" si="4"/>
        <v>청</v>
      </c>
    </row>
    <row r="303" spans="1:14" x14ac:dyDescent="0.4">
      <c r="B303" s="144" t="s">
        <v>205</v>
      </c>
      <c r="C303" s="144" t="s">
        <v>250</v>
      </c>
      <c r="D303" s="144" t="s">
        <v>27</v>
      </c>
      <c r="E303" s="144">
        <v>22</v>
      </c>
      <c r="F303" s="112" t="str">
        <f t="shared" si="4"/>
        <v>청</v>
      </c>
    </row>
    <row r="304" spans="1:14" x14ac:dyDescent="0.4">
      <c r="B304" s="144" t="s">
        <v>206</v>
      </c>
      <c r="C304" s="144" t="s">
        <v>130</v>
      </c>
      <c r="D304" s="144" t="s">
        <v>27</v>
      </c>
      <c r="E304" s="144">
        <v>22</v>
      </c>
      <c r="F304" s="112" t="str">
        <f t="shared" si="4"/>
        <v>청</v>
      </c>
    </row>
    <row r="305" spans="1:6" x14ac:dyDescent="0.4">
      <c r="B305" s="144" t="s">
        <v>207</v>
      </c>
      <c r="C305" s="144" t="s">
        <v>266</v>
      </c>
      <c r="D305" s="144" t="s">
        <v>27</v>
      </c>
      <c r="E305" s="144">
        <v>12</v>
      </c>
      <c r="F305" s="112" t="str">
        <f t="shared" si="4"/>
        <v>청</v>
      </c>
    </row>
    <row r="306" spans="1:6" x14ac:dyDescent="0.4">
      <c r="B306" s="144" t="s">
        <v>208</v>
      </c>
      <c r="C306" s="144" t="s">
        <v>541</v>
      </c>
      <c r="D306" s="144" t="s">
        <v>27</v>
      </c>
      <c r="E306" s="144">
        <v>21</v>
      </c>
      <c r="F306" s="112" t="str">
        <f t="shared" si="4"/>
        <v>청</v>
      </c>
    </row>
    <row r="307" spans="1:6" x14ac:dyDescent="0.4">
      <c r="B307" s="144" t="s">
        <v>209</v>
      </c>
      <c r="C307" s="144" t="s">
        <v>562</v>
      </c>
      <c r="D307" s="144" t="s">
        <v>27</v>
      </c>
      <c r="E307" s="144">
        <v>42</v>
      </c>
      <c r="F307" s="112" t="str">
        <f t="shared" si="4"/>
        <v>청</v>
      </c>
    </row>
    <row r="308" spans="1:6" x14ac:dyDescent="0.4">
      <c r="A308" s="110" t="s">
        <v>614</v>
      </c>
      <c r="B308" s="144" t="s">
        <v>210</v>
      </c>
      <c r="C308" s="144" t="s">
        <v>577</v>
      </c>
      <c r="D308" s="144" t="s">
        <v>27</v>
      </c>
      <c r="E308" s="144">
        <v>11</v>
      </c>
      <c r="F308" s="112" t="str">
        <f t="shared" si="4"/>
        <v>청</v>
      </c>
    </row>
    <row r="309" spans="1:6" x14ac:dyDescent="0.4">
      <c r="A309" s="110" t="s">
        <v>601</v>
      </c>
      <c r="B309" s="144" t="s">
        <v>211</v>
      </c>
      <c r="C309" s="144" t="s">
        <v>460</v>
      </c>
      <c r="D309" s="144" t="s">
        <v>27</v>
      </c>
      <c r="E309" s="144">
        <v>12</v>
      </c>
      <c r="F309" s="112" t="str">
        <f t="shared" si="4"/>
        <v>청</v>
      </c>
    </row>
    <row r="310" spans="1:6" x14ac:dyDescent="0.4">
      <c r="B310" s="144" t="s">
        <v>212</v>
      </c>
      <c r="C310" s="144" t="s">
        <v>455</v>
      </c>
      <c r="D310" s="144" t="s">
        <v>27</v>
      </c>
      <c r="E310" s="144">
        <v>42</v>
      </c>
      <c r="F310" s="112" t="str">
        <f t="shared" si="4"/>
        <v>청</v>
      </c>
    </row>
    <row r="311" spans="1:6" x14ac:dyDescent="0.4">
      <c r="B311" s="144" t="s">
        <v>213</v>
      </c>
      <c r="C311" s="144" t="s">
        <v>471</v>
      </c>
      <c r="D311" s="144" t="s">
        <v>27</v>
      </c>
      <c r="E311" s="144">
        <v>31</v>
      </c>
      <c r="F311" s="112" t="str">
        <f t="shared" si="4"/>
        <v>청</v>
      </c>
    </row>
    <row r="312" spans="1:6" x14ac:dyDescent="0.4">
      <c r="B312" s="144" t="s">
        <v>423</v>
      </c>
      <c r="C312" s="144" t="s">
        <v>532</v>
      </c>
      <c r="D312" s="144" t="s">
        <v>27</v>
      </c>
      <c r="E312" s="144">
        <v>32</v>
      </c>
      <c r="F312" s="112" t="str">
        <f t="shared" si="4"/>
        <v>청</v>
      </c>
    </row>
    <row r="313" spans="1:6" x14ac:dyDescent="0.4">
      <c r="A313" s="110" t="s">
        <v>614</v>
      </c>
      <c r="B313" s="144" t="s">
        <v>424</v>
      </c>
      <c r="C313" s="144" t="s">
        <v>587</v>
      </c>
      <c r="D313" s="144" t="s">
        <v>27</v>
      </c>
      <c r="E313" s="144">
        <v>43</v>
      </c>
      <c r="F313" s="112" t="str">
        <f t="shared" si="4"/>
        <v>청</v>
      </c>
    </row>
    <row r="314" spans="1:6" x14ac:dyDescent="0.4">
      <c r="B314" s="144" t="s">
        <v>425</v>
      </c>
      <c r="C314" s="144" t="s">
        <v>544</v>
      </c>
      <c r="D314" s="144" t="s">
        <v>27</v>
      </c>
      <c r="E314" s="144">
        <v>31</v>
      </c>
      <c r="F314" s="112" t="str">
        <f t="shared" si="4"/>
        <v>청</v>
      </c>
    </row>
    <row r="315" spans="1:6" x14ac:dyDescent="0.4">
      <c r="B315" s="144" t="s">
        <v>426</v>
      </c>
      <c r="C315" s="144" t="s">
        <v>464</v>
      </c>
      <c r="D315" s="144" t="s">
        <v>27</v>
      </c>
      <c r="E315" s="144">
        <v>11</v>
      </c>
      <c r="F315" s="112" t="str">
        <f t="shared" si="4"/>
        <v>청</v>
      </c>
    </row>
    <row r="316" spans="1:6" x14ac:dyDescent="0.4">
      <c r="B316" s="144" t="s">
        <v>427</v>
      </c>
      <c r="C316" s="144"/>
      <c r="D316" s="144" t="s">
        <v>27</v>
      </c>
      <c r="E316" s="144" t="e">
        <v>#N/A</v>
      </c>
      <c r="F316" s="112" t="e">
        <f t="shared" si="4"/>
        <v>#N/A</v>
      </c>
    </row>
    <row r="317" spans="1:6" x14ac:dyDescent="0.4">
      <c r="B317" s="144" t="s">
        <v>478</v>
      </c>
      <c r="C317" s="144"/>
      <c r="D317" s="144" t="s">
        <v>27</v>
      </c>
      <c r="E317" s="144" t="e">
        <v>#N/A</v>
      </c>
      <c r="F317" s="112" t="e">
        <f t="shared" si="4"/>
        <v>#N/A</v>
      </c>
    </row>
    <row r="318" spans="1:6" x14ac:dyDescent="0.4">
      <c r="B318" s="144" t="s">
        <v>479</v>
      </c>
      <c r="C318" s="144"/>
      <c r="D318" s="144" t="s">
        <v>27</v>
      </c>
      <c r="E318" s="144" t="e">
        <v>#N/A</v>
      </c>
      <c r="F318" s="112" t="e">
        <f t="shared" si="4"/>
        <v>#N/A</v>
      </c>
    </row>
    <row r="319" spans="1:6" x14ac:dyDescent="0.4">
      <c r="B319" s="144" t="s">
        <v>480</v>
      </c>
      <c r="C319" s="144"/>
      <c r="D319" s="144" t="s">
        <v>27</v>
      </c>
      <c r="E319" s="144" t="e">
        <v>#N/A</v>
      </c>
      <c r="F319" s="112" t="e">
        <f t="shared" si="4"/>
        <v>#N/A</v>
      </c>
    </row>
    <row r="320" spans="1:6" x14ac:dyDescent="0.4">
      <c r="B320" s="144" t="s">
        <v>481</v>
      </c>
      <c r="C320" s="144"/>
      <c r="D320" s="144" t="s">
        <v>27</v>
      </c>
      <c r="E320" s="144" t="e">
        <v>#N/A</v>
      </c>
      <c r="F320" s="112" t="e">
        <f t="shared" si="4"/>
        <v>#N/A</v>
      </c>
    </row>
    <row r="321" spans="2:6" x14ac:dyDescent="0.4">
      <c r="B321" s="144" t="s">
        <v>482</v>
      </c>
      <c r="C321" s="144"/>
      <c r="D321" s="144" t="s">
        <v>27</v>
      </c>
      <c r="E321" s="144" t="e">
        <v>#N/A</v>
      </c>
      <c r="F321" s="112" t="e">
        <f t="shared" si="4"/>
        <v>#N/A</v>
      </c>
    </row>
    <row r="322" spans="2:6" x14ac:dyDescent="0.4">
      <c r="B322" s="144" t="s">
        <v>483</v>
      </c>
      <c r="C322" s="144"/>
      <c r="D322" s="144" t="s">
        <v>27</v>
      </c>
      <c r="E322" s="144" t="e">
        <v>#N/A</v>
      </c>
      <c r="F322" s="112" t="e">
        <f t="shared" si="4"/>
        <v>#N/A</v>
      </c>
    </row>
    <row r="323" spans="2:6" x14ac:dyDescent="0.4">
      <c r="B323" s="144" t="s">
        <v>484</v>
      </c>
      <c r="C323" s="144"/>
      <c r="D323" s="144" t="s">
        <v>27</v>
      </c>
      <c r="E323" s="144" t="e">
        <v>#N/A</v>
      </c>
      <c r="F323" s="112" t="e">
        <f>VLOOKUP(C323,L:N,2,0)</f>
        <v>#N/A</v>
      </c>
    </row>
    <row r="324" spans="2:6" x14ac:dyDescent="0.4">
      <c r="B324" s="144" t="s">
        <v>502</v>
      </c>
      <c r="C324" s="144"/>
      <c r="D324" s="144" t="s">
        <v>27</v>
      </c>
      <c r="E324" s="144" t="e">
        <v>#N/A</v>
      </c>
      <c r="F324" s="112" t="e">
        <f>VLOOKUP(C324,L:N,2,0)</f>
        <v>#N/A</v>
      </c>
    </row>
    <row r="325" spans="2:6" x14ac:dyDescent="0.4">
      <c r="B325" s="144" t="s">
        <v>503</v>
      </c>
      <c r="C325" s="144"/>
      <c r="D325" s="144" t="s">
        <v>27</v>
      </c>
      <c r="E325" s="144" t="e">
        <v>#N/A</v>
      </c>
      <c r="F325" s="112" t="e">
        <f>VLOOKUP(C325,L:N,2,0)</f>
        <v>#N/A</v>
      </c>
    </row>
    <row r="326" spans="2:6" x14ac:dyDescent="0.4">
      <c r="B326" s="144" t="s">
        <v>504</v>
      </c>
      <c r="C326" s="144"/>
      <c r="D326" s="144" t="s">
        <v>27</v>
      </c>
      <c r="E326" s="144" t="e">
        <v>#N/A</v>
      </c>
      <c r="F326" s="112" t="e">
        <f>VLOOKUP(C326,L:N,2,0)</f>
        <v>#N/A</v>
      </c>
    </row>
  </sheetData>
  <autoFilter ref="B1:G326" xr:uid="{00000000-0009-0000-0000-000007000000}"/>
  <phoneticPr fontId="42" type="noConversion"/>
  <conditionalFormatting sqref="C1:C65536">
    <cfRule type="duplicateValues" dxfId="13" priority="20"/>
  </conditionalFormatting>
  <conditionalFormatting sqref="L1:L291">
    <cfRule type="duplicateValues" dxfId="12" priority="19"/>
  </conditionalFormatting>
  <conditionalFormatting sqref="L67">
    <cfRule type="containsBlanks" dxfId="11" priority="13">
      <formula>LEN(TRIM(L67))=0</formula>
    </cfRule>
    <cfRule type="expression" dxfId="10" priority="14">
      <formula>LEN(TRIM(L67))=0</formula>
    </cfRule>
  </conditionalFormatting>
  <conditionalFormatting sqref="L2:M29 L101:M130">
    <cfRule type="expression" dxfId="9" priority="17">
      <formula>LEN(TRIM(L2))=0</formula>
    </cfRule>
    <cfRule type="containsBlanks" dxfId="8" priority="18">
      <formula>LEN(TRIM(L2))=0</formula>
    </cfRule>
  </conditionalFormatting>
  <conditionalFormatting sqref="L39:M66">
    <cfRule type="expression" dxfId="7" priority="15">
      <formula>LEN(TRIM(L39))=0</formula>
    </cfRule>
    <cfRule type="containsBlanks" dxfId="6" priority="16">
      <formula>LEN(TRIM(L39))=0</formula>
    </cfRule>
  </conditionalFormatting>
  <conditionalFormatting sqref="L68:M98">
    <cfRule type="expression" dxfId="5" priority="11">
      <formula>LEN(TRIM(L68))=0</formula>
    </cfRule>
    <cfRule type="containsBlanks" dxfId="4" priority="12">
      <formula>LEN(TRIM(L68))=0</formula>
    </cfRule>
  </conditionalFormatting>
  <conditionalFormatting sqref="L132:M163">
    <cfRule type="expression" dxfId="3" priority="9">
      <formula>LEN(TRIM(L132))=0</formula>
    </cfRule>
    <cfRule type="containsBlanks" dxfId="2" priority="10">
      <formula>LEN(TRIM(L132))=0</formula>
    </cfRule>
  </conditionalFormatting>
  <conditionalFormatting sqref="L170:M255 L257:M259 L262:M263 L265:M276">
    <cfRule type="expression" dxfId="1" priority="1">
      <formula>LEN(TRIM(L170))=0</formula>
    </cfRule>
    <cfRule type="containsBlanks" dxfId="0" priority="2">
      <formula>LEN(TRIM(L170))=0</formula>
    </cfRule>
  </conditionalFormatting>
  <pageMargins left="0.7" right="0.7" top="0.4" bottom="0.64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>
    <pageSetUpPr fitToPage="1"/>
  </sheetPr>
  <dimension ref="A1:Q17"/>
  <sheetViews>
    <sheetView showGridLines="0" workbookViewId="0">
      <selection activeCell="A17" sqref="A17:F17"/>
    </sheetView>
  </sheetViews>
  <sheetFormatPr defaultColWidth="9" defaultRowHeight="17.399999999999999" x14ac:dyDescent="0.4"/>
  <cols>
    <col min="1" max="1" width="4.3984375" customWidth="1"/>
    <col min="2" max="2" width="6.09765625" customWidth="1"/>
    <col min="3" max="3" width="16.8984375" customWidth="1"/>
    <col min="4" max="6" width="9.59765625" customWidth="1"/>
    <col min="7" max="8" width="4" customWidth="1"/>
    <col min="9" max="9" width="4.3984375" customWidth="1"/>
    <col min="10" max="10" width="6.09765625" customWidth="1"/>
    <col min="11" max="11" width="16.8984375" customWidth="1"/>
    <col min="12" max="13" width="9.59765625" customWidth="1"/>
    <col min="14" max="14" width="10.09765625" customWidth="1"/>
    <col min="15" max="15" width="13.69921875" customWidth="1"/>
    <col min="17" max="17" width="10.69921875" bestFit="1" customWidth="1"/>
  </cols>
  <sheetData>
    <row r="1" spans="1:17" ht="22.5" customHeight="1" x14ac:dyDescent="0.4">
      <c r="A1" s="194" t="s">
        <v>400</v>
      </c>
      <c r="B1" s="25"/>
      <c r="C1" s="25"/>
      <c r="D1" s="26" t="s">
        <v>401</v>
      </c>
      <c r="E1" s="26" t="s">
        <v>402</v>
      </c>
      <c r="F1" s="27" t="s">
        <v>403</v>
      </c>
      <c r="H1" s="31"/>
      <c r="I1" s="194"/>
      <c r="J1" s="25"/>
      <c r="K1" s="25"/>
      <c r="L1" s="26"/>
      <c r="M1" s="26"/>
      <c r="N1" s="27"/>
    </row>
    <row r="2" spans="1:17" ht="42.75" customHeight="1" thickBot="1" x14ac:dyDescent="0.45">
      <c r="A2" s="195"/>
      <c r="B2" s="28"/>
      <c r="C2" s="28"/>
      <c r="D2" s="29"/>
      <c r="E2" s="29"/>
      <c r="F2" s="30"/>
      <c r="H2" s="31"/>
      <c r="I2" s="195"/>
      <c r="J2" s="28"/>
      <c r="K2" s="28"/>
      <c r="L2" s="29"/>
      <c r="M2" s="29"/>
      <c r="N2" s="30"/>
    </row>
    <row r="3" spans="1:17" ht="36.75" customHeight="1" x14ac:dyDescent="0.4">
      <c r="A3" s="196" t="s">
        <v>398</v>
      </c>
      <c r="B3" s="197"/>
      <c r="C3" s="197"/>
      <c r="D3" s="197"/>
      <c r="E3" s="197"/>
      <c r="F3" s="198"/>
      <c r="H3" s="31"/>
      <c r="I3" s="196"/>
      <c r="J3" s="197"/>
      <c r="K3" s="197"/>
      <c r="L3" s="197"/>
      <c r="M3" s="197"/>
      <c r="N3" s="198"/>
    </row>
    <row r="4" spans="1:17" ht="27" customHeight="1" thickBot="1" x14ac:dyDescent="0.45">
      <c r="A4" s="199" t="s">
        <v>626</v>
      </c>
      <c r="B4" s="200"/>
      <c r="C4" s="200"/>
      <c r="D4" s="200"/>
      <c r="E4" s="200"/>
      <c r="F4" s="201"/>
      <c r="H4" s="31"/>
      <c r="I4" s="202"/>
      <c r="J4" s="203"/>
      <c r="K4" s="203"/>
      <c r="L4" s="203"/>
      <c r="M4" s="203"/>
      <c r="N4" s="204"/>
    </row>
    <row r="5" spans="1:17" ht="24.75" customHeight="1" thickBot="1" x14ac:dyDescent="0.45">
      <c r="A5" s="190" t="s">
        <v>412</v>
      </c>
      <c r="B5" s="191"/>
      <c r="C5" s="47" t="s">
        <v>413</v>
      </c>
      <c r="D5" s="191" t="s">
        <v>414</v>
      </c>
      <c r="E5" s="191"/>
      <c r="F5" s="45" t="s">
        <v>415</v>
      </c>
      <c r="H5" s="31"/>
      <c r="I5" s="190"/>
      <c r="J5" s="191"/>
      <c r="K5" s="47"/>
      <c r="L5" s="191"/>
      <c r="M5" s="191"/>
      <c r="N5" s="45"/>
    </row>
    <row r="6" spans="1:17" ht="24.75" customHeight="1" thickTop="1" x14ac:dyDescent="0.4">
      <c r="A6" s="192">
        <v>46029</v>
      </c>
      <c r="B6" s="193"/>
      <c r="C6" s="43" t="s">
        <v>416</v>
      </c>
      <c r="D6" s="189"/>
      <c r="E6" s="189"/>
      <c r="F6" s="44"/>
      <c r="H6" s="31"/>
      <c r="I6" s="179"/>
      <c r="J6" s="180"/>
      <c r="K6" s="43"/>
      <c r="L6" s="189"/>
      <c r="M6" s="189"/>
      <c r="N6" s="48"/>
      <c r="O6" s="32"/>
    </row>
    <row r="7" spans="1:17" ht="24.75" customHeight="1" x14ac:dyDescent="0.4">
      <c r="A7" s="186">
        <f>A6</f>
        <v>46029</v>
      </c>
      <c r="B7" s="187"/>
      <c r="C7" s="46" t="s">
        <v>417</v>
      </c>
      <c r="D7" s="189"/>
      <c r="E7" s="189"/>
      <c r="F7" s="44"/>
      <c r="H7" s="31"/>
      <c r="I7" s="179"/>
      <c r="J7" s="180"/>
      <c r="K7" s="46"/>
      <c r="L7" s="189"/>
      <c r="M7" s="189"/>
      <c r="N7" s="44"/>
      <c r="O7" s="32"/>
    </row>
    <row r="8" spans="1:17" ht="24.75" customHeight="1" x14ac:dyDescent="0.4">
      <c r="A8" s="186">
        <f>A7</f>
        <v>46029</v>
      </c>
      <c r="B8" s="187"/>
      <c r="C8" s="38" t="s">
        <v>418</v>
      </c>
      <c r="D8" s="188"/>
      <c r="E8" s="188"/>
      <c r="F8" s="39"/>
      <c r="H8" s="31"/>
      <c r="I8" s="179"/>
      <c r="J8" s="180"/>
      <c r="K8" s="38"/>
      <c r="L8" s="188"/>
      <c r="M8" s="188"/>
      <c r="N8" s="39"/>
      <c r="O8" s="32"/>
    </row>
    <row r="9" spans="1:17" ht="24.75" customHeight="1" x14ac:dyDescent="0.4">
      <c r="A9" s="186">
        <f>A8</f>
        <v>46029</v>
      </c>
      <c r="B9" s="187"/>
      <c r="C9" s="38" t="s">
        <v>419</v>
      </c>
      <c r="D9" s="188"/>
      <c r="E9" s="188"/>
      <c r="F9" s="39"/>
      <c r="H9" s="31"/>
      <c r="I9" s="179"/>
      <c r="J9" s="180"/>
      <c r="K9" s="38"/>
      <c r="L9" s="188"/>
      <c r="M9" s="188"/>
      <c r="N9" s="39"/>
    </row>
    <row r="10" spans="1:17" ht="24.75" customHeight="1" x14ac:dyDescent="0.4">
      <c r="A10" s="186">
        <f>A7</f>
        <v>46029</v>
      </c>
      <c r="B10" s="187"/>
      <c r="C10" s="38" t="s">
        <v>420</v>
      </c>
      <c r="D10" s="188"/>
      <c r="E10" s="188"/>
      <c r="F10" s="39"/>
      <c r="H10" s="31"/>
      <c r="I10" s="179"/>
      <c r="J10" s="180"/>
      <c r="K10" s="38"/>
      <c r="L10" s="188"/>
      <c r="M10" s="188"/>
      <c r="N10" s="39"/>
    </row>
    <row r="11" spans="1:17" ht="24.75" customHeight="1" x14ac:dyDescent="0.4">
      <c r="A11" s="186">
        <f>A8</f>
        <v>46029</v>
      </c>
      <c r="B11" s="187"/>
      <c r="C11" s="40" t="s">
        <v>421</v>
      </c>
      <c r="D11" s="178"/>
      <c r="E11" s="178"/>
      <c r="F11" s="41"/>
      <c r="H11" s="31"/>
      <c r="I11" s="179"/>
      <c r="J11" s="180"/>
      <c r="K11" s="40"/>
      <c r="L11" s="178"/>
      <c r="M11" s="178"/>
      <c r="N11" s="41"/>
    </row>
    <row r="12" spans="1:17" ht="24.75" customHeight="1" x14ac:dyDescent="0.4">
      <c r="A12" s="186">
        <f>A9</f>
        <v>46029</v>
      </c>
      <c r="B12" s="187"/>
      <c r="C12" s="40" t="s">
        <v>440</v>
      </c>
      <c r="D12" s="178"/>
      <c r="E12" s="178"/>
      <c r="F12" s="41"/>
      <c r="H12" s="31"/>
      <c r="I12" s="179"/>
      <c r="J12" s="180"/>
      <c r="K12" s="40"/>
      <c r="L12" s="178"/>
      <c r="M12" s="178"/>
      <c r="N12" s="41"/>
    </row>
    <row r="13" spans="1:17" ht="24.75" customHeight="1" thickBot="1" x14ac:dyDescent="0.45">
      <c r="A13" s="176">
        <f>A10</f>
        <v>46029</v>
      </c>
      <c r="B13" s="177"/>
      <c r="C13" s="40" t="s">
        <v>454</v>
      </c>
      <c r="D13" s="178"/>
      <c r="E13" s="178"/>
      <c r="F13" s="41"/>
      <c r="H13" s="31"/>
      <c r="I13" s="179"/>
      <c r="J13" s="180"/>
      <c r="K13" s="40"/>
      <c r="L13" s="178"/>
      <c r="M13" s="178"/>
      <c r="N13" s="41"/>
    </row>
    <row r="14" spans="1:17" ht="24.75" customHeight="1" thickTop="1" x14ac:dyDescent="0.4">
      <c r="A14" s="181" t="s">
        <v>422</v>
      </c>
      <c r="B14" s="182"/>
      <c r="C14" s="183"/>
      <c r="D14" s="184">
        <f>SUM(D6:E13)</f>
        <v>0</v>
      </c>
      <c r="E14" s="185"/>
      <c r="F14" s="42"/>
      <c r="H14" s="31"/>
      <c r="I14" s="181"/>
      <c r="J14" s="182"/>
      <c r="K14" s="183"/>
      <c r="L14" s="184"/>
      <c r="M14" s="185"/>
      <c r="N14" s="42"/>
      <c r="O14" s="32"/>
    </row>
    <row r="15" spans="1:17" x14ac:dyDescent="0.4">
      <c r="A15" s="36"/>
      <c r="F15" s="37"/>
      <c r="H15" s="31"/>
      <c r="I15" s="36"/>
      <c r="N15" s="37"/>
      <c r="O15" s="80"/>
      <c r="Q15" s="32"/>
    </row>
    <row r="16" spans="1:17" ht="33.75" customHeight="1" x14ac:dyDescent="0.4">
      <c r="A16" s="170" t="s">
        <v>627</v>
      </c>
      <c r="B16" s="171"/>
      <c r="C16" s="171"/>
      <c r="D16" s="171"/>
      <c r="E16" s="171"/>
      <c r="F16" s="172"/>
      <c r="H16" s="31"/>
      <c r="I16" s="170"/>
      <c r="J16" s="171"/>
      <c r="K16" s="171"/>
      <c r="L16" s="171"/>
      <c r="M16" s="171"/>
      <c r="N16" s="172"/>
      <c r="O16" s="32"/>
    </row>
    <row r="17" spans="1:14" ht="69" customHeight="1" thickBot="1" x14ac:dyDescent="0.45">
      <c r="A17" s="173" t="s">
        <v>399</v>
      </c>
      <c r="B17" s="174"/>
      <c r="C17" s="174"/>
      <c r="D17" s="174"/>
      <c r="E17" s="174"/>
      <c r="F17" s="175"/>
      <c r="H17" s="31"/>
      <c r="I17" s="173"/>
      <c r="J17" s="174"/>
      <c r="K17" s="174"/>
      <c r="L17" s="174"/>
      <c r="M17" s="174"/>
      <c r="N17" s="175"/>
    </row>
  </sheetData>
  <mergeCells count="50">
    <mergeCell ref="A1:A2"/>
    <mergeCell ref="I1:I2"/>
    <mergeCell ref="A3:F3"/>
    <mergeCell ref="I3:N3"/>
    <mergeCell ref="A4:F4"/>
    <mergeCell ref="I4:N4"/>
    <mergeCell ref="A5:B5"/>
    <mergeCell ref="D5:E5"/>
    <mergeCell ref="I5:J5"/>
    <mergeCell ref="L5:M5"/>
    <mergeCell ref="A6:B6"/>
    <mergeCell ref="D6:E6"/>
    <mergeCell ref="I6:J6"/>
    <mergeCell ref="L6:M6"/>
    <mergeCell ref="A7:B7"/>
    <mergeCell ref="D7:E7"/>
    <mergeCell ref="I7:J7"/>
    <mergeCell ref="L7:M7"/>
    <mergeCell ref="A8:B8"/>
    <mergeCell ref="D8:E8"/>
    <mergeCell ref="I8:J8"/>
    <mergeCell ref="L8:M8"/>
    <mergeCell ref="A9:B9"/>
    <mergeCell ref="D9:E9"/>
    <mergeCell ref="I9:J9"/>
    <mergeCell ref="L9:M9"/>
    <mergeCell ref="A10:B10"/>
    <mergeCell ref="D10:E10"/>
    <mergeCell ref="I10:J10"/>
    <mergeCell ref="L10:M10"/>
    <mergeCell ref="A11:B11"/>
    <mergeCell ref="D11:E11"/>
    <mergeCell ref="I11:J11"/>
    <mergeCell ref="L11:M11"/>
    <mergeCell ref="A12:B12"/>
    <mergeCell ref="D12:E12"/>
    <mergeCell ref="I12:J12"/>
    <mergeCell ref="L12:M12"/>
    <mergeCell ref="A16:F16"/>
    <mergeCell ref="I16:N16"/>
    <mergeCell ref="A17:F17"/>
    <mergeCell ref="I17:N17"/>
    <mergeCell ref="A13:B13"/>
    <mergeCell ref="D13:E13"/>
    <mergeCell ref="I13:J13"/>
    <mergeCell ref="L13:M13"/>
    <mergeCell ref="A14:C14"/>
    <mergeCell ref="D14:E14"/>
    <mergeCell ref="I14:K14"/>
    <mergeCell ref="L14:M14"/>
  </mergeCells>
  <phoneticPr fontId="23" type="noConversion"/>
  <pageMargins left="0.70866141732283472" right="0.70866141732283472" top="0.92" bottom="0.74803149606299213" header="0.31496062992125984" footer="0.31496062992125984"/>
  <pageSetup paperSize="9" scale="99" orientation="landscape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Q17"/>
  <sheetViews>
    <sheetView showGridLines="0" topLeftCell="A7" zoomScale="115" zoomScaleNormal="115" workbookViewId="0">
      <selection activeCell="N10" sqref="N10"/>
    </sheetView>
  </sheetViews>
  <sheetFormatPr defaultRowHeight="17.399999999999999" x14ac:dyDescent="0.4"/>
  <cols>
    <col min="1" max="1" width="4.3984375" customWidth="1"/>
    <col min="2" max="2" width="6.09765625" customWidth="1"/>
    <col min="3" max="3" width="16.8984375" customWidth="1"/>
    <col min="4" max="6" width="9.59765625" customWidth="1"/>
    <col min="7" max="7" width="2.69921875" customWidth="1"/>
    <col min="8" max="8" width="4" customWidth="1"/>
    <col min="9" max="9" width="4.3984375" customWidth="1"/>
    <col min="10" max="10" width="6.09765625" customWidth="1"/>
    <col min="11" max="11" width="16.8984375" customWidth="1"/>
    <col min="12" max="13" width="9.59765625" customWidth="1"/>
    <col min="14" max="14" width="10.09765625" customWidth="1"/>
    <col min="15" max="15" width="13.69921875" customWidth="1"/>
    <col min="17" max="17" width="10.69921875" bestFit="1" customWidth="1"/>
  </cols>
  <sheetData>
    <row r="1" spans="1:17" ht="22.5" customHeight="1" x14ac:dyDescent="0.4">
      <c r="A1" s="205" t="s">
        <v>579</v>
      </c>
      <c r="B1" s="25"/>
      <c r="C1" s="25"/>
      <c r="D1" s="26" t="s">
        <v>580</v>
      </c>
      <c r="E1" s="26" t="s">
        <v>581</v>
      </c>
      <c r="F1" s="27" t="s">
        <v>582</v>
      </c>
      <c r="H1" s="31"/>
      <c r="I1" s="194" t="s">
        <v>579</v>
      </c>
      <c r="J1" s="25"/>
      <c r="K1" s="25"/>
      <c r="L1" s="26" t="s">
        <v>580</v>
      </c>
      <c r="M1" s="26" t="s">
        <v>581</v>
      </c>
      <c r="N1" s="27" t="s">
        <v>582</v>
      </c>
    </row>
    <row r="2" spans="1:17" ht="42.75" customHeight="1" thickBot="1" x14ac:dyDescent="0.45">
      <c r="A2" s="206"/>
      <c r="B2" s="28"/>
      <c r="C2" s="28"/>
      <c r="D2" s="29"/>
      <c r="E2" s="29"/>
      <c r="F2" s="30"/>
      <c r="H2" s="31"/>
      <c r="I2" s="195"/>
      <c r="J2" s="28"/>
      <c r="K2" s="28"/>
      <c r="L2" s="29"/>
      <c r="M2" s="29"/>
      <c r="N2" s="30"/>
    </row>
    <row r="3" spans="1:17" ht="36.75" customHeight="1" x14ac:dyDescent="0.4">
      <c r="A3" s="207" t="s">
        <v>583</v>
      </c>
      <c r="B3" s="208"/>
      <c r="C3" s="208"/>
      <c r="D3" s="208"/>
      <c r="E3" s="208"/>
      <c r="F3" s="209"/>
      <c r="H3" s="31"/>
      <c r="I3" s="196" t="s">
        <v>583</v>
      </c>
      <c r="J3" s="197"/>
      <c r="K3" s="197"/>
      <c r="L3" s="197"/>
      <c r="M3" s="197"/>
      <c r="N3" s="198"/>
    </row>
    <row r="4" spans="1:17" ht="27" customHeight="1" thickBot="1" x14ac:dyDescent="0.45">
      <c r="A4" s="199" t="s">
        <v>636</v>
      </c>
      <c r="B4" s="200"/>
      <c r="C4" s="200"/>
      <c r="D4" s="200"/>
      <c r="E4" s="200"/>
      <c r="F4" s="201"/>
      <c r="H4" s="31"/>
      <c r="I4" s="202" t="s">
        <v>637</v>
      </c>
      <c r="J4" s="203"/>
      <c r="K4" s="203"/>
      <c r="L4" s="203"/>
      <c r="M4" s="203"/>
      <c r="N4" s="204"/>
    </row>
    <row r="5" spans="1:17" ht="24.75" customHeight="1" thickBot="1" x14ac:dyDescent="0.45">
      <c r="A5" s="210" t="s">
        <v>412</v>
      </c>
      <c r="B5" s="211"/>
      <c r="C5" s="47" t="s">
        <v>413</v>
      </c>
      <c r="D5" s="212" t="s">
        <v>414</v>
      </c>
      <c r="E5" s="211"/>
      <c r="F5" s="45" t="s">
        <v>415</v>
      </c>
      <c r="H5" s="31"/>
      <c r="I5" s="190" t="s">
        <v>412</v>
      </c>
      <c r="J5" s="191"/>
      <c r="K5" s="47" t="s">
        <v>413</v>
      </c>
      <c r="L5" s="191" t="s">
        <v>414</v>
      </c>
      <c r="M5" s="191"/>
      <c r="N5" s="45" t="s">
        <v>415</v>
      </c>
    </row>
    <row r="6" spans="1:17" ht="24.75" customHeight="1" thickTop="1" x14ac:dyDescent="0.4">
      <c r="A6" s="192">
        <v>46063</v>
      </c>
      <c r="B6" s="193"/>
      <c r="C6" s="43" t="s">
        <v>416</v>
      </c>
      <c r="D6" s="213"/>
      <c r="E6" s="214"/>
      <c r="F6" s="99"/>
      <c r="H6" s="31"/>
      <c r="I6" s="179">
        <v>46061</v>
      </c>
      <c r="J6" s="180"/>
      <c r="K6" s="43" t="s">
        <v>416</v>
      </c>
      <c r="L6" s="189"/>
      <c r="M6" s="189"/>
      <c r="N6" s="48"/>
      <c r="O6" s="32"/>
    </row>
    <row r="7" spans="1:17" ht="24.75" customHeight="1" x14ac:dyDescent="0.4">
      <c r="A7" s="186">
        <f>A6</f>
        <v>46063</v>
      </c>
      <c r="B7" s="187"/>
      <c r="C7" s="46" t="s">
        <v>417</v>
      </c>
      <c r="D7" s="215"/>
      <c r="E7" s="216"/>
      <c r="F7" s="44"/>
      <c r="H7" s="31"/>
      <c r="I7" s="179">
        <f>I6</f>
        <v>46061</v>
      </c>
      <c r="J7" s="180"/>
      <c r="K7" s="46" t="s">
        <v>417</v>
      </c>
      <c r="L7" s="189"/>
      <c r="M7" s="189"/>
      <c r="N7" s="44"/>
      <c r="O7" s="32"/>
    </row>
    <row r="8" spans="1:17" ht="24.75" customHeight="1" x14ac:dyDescent="0.4">
      <c r="A8" s="186">
        <f>A7</f>
        <v>46063</v>
      </c>
      <c r="B8" s="187"/>
      <c r="C8" s="38" t="s">
        <v>418</v>
      </c>
      <c r="D8" s="215"/>
      <c r="E8" s="216"/>
      <c r="F8" s="39"/>
      <c r="H8" s="31"/>
      <c r="I8" s="179">
        <f>I7</f>
        <v>46061</v>
      </c>
      <c r="J8" s="180"/>
      <c r="K8" s="38" t="s">
        <v>418</v>
      </c>
      <c r="L8" s="189"/>
      <c r="M8" s="189"/>
      <c r="N8" s="39"/>
      <c r="O8" s="32"/>
    </row>
    <row r="9" spans="1:17" ht="24.75" customHeight="1" x14ac:dyDescent="0.4">
      <c r="A9" s="186">
        <f>A8</f>
        <v>46063</v>
      </c>
      <c r="B9" s="187"/>
      <c r="C9" s="38" t="s">
        <v>419</v>
      </c>
      <c r="D9" s="215"/>
      <c r="E9" s="216"/>
      <c r="F9" s="39"/>
      <c r="H9" s="31"/>
      <c r="I9" s="179">
        <f>I8</f>
        <v>46061</v>
      </c>
      <c r="J9" s="180"/>
      <c r="K9" s="38" t="s">
        <v>419</v>
      </c>
      <c r="L9" s="189"/>
      <c r="M9" s="189"/>
      <c r="N9" s="39"/>
    </row>
    <row r="10" spans="1:17" ht="24.75" customHeight="1" x14ac:dyDescent="0.4">
      <c r="A10" s="186">
        <f>A7</f>
        <v>46063</v>
      </c>
      <c r="B10" s="187"/>
      <c r="C10" s="38" t="s">
        <v>420</v>
      </c>
      <c r="D10" s="215"/>
      <c r="E10" s="216"/>
      <c r="F10" s="39"/>
      <c r="H10" s="31"/>
      <c r="I10" s="179">
        <f>I9</f>
        <v>46061</v>
      </c>
      <c r="J10" s="180"/>
      <c r="K10" s="38" t="s">
        <v>420</v>
      </c>
      <c r="L10" s="189"/>
      <c r="M10" s="189"/>
      <c r="N10" s="39"/>
    </row>
    <row r="11" spans="1:17" ht="24.75" customHeight="1" x14ac:dyDescent="0.4">
      <c r="A11" s="186">
        <f>A8</f>
        <v>46063</v>
      </c>
      <c r="B11" s="187"/>
      <c r="C11" s="40" t="s">
        <v>625</v>
      </c>
      <c r="D11" s="215"/>
      <c r="E11" s="216"/>
      <c r="F11" s="41"/>
      <c r="H11" s="31"/>
      <c r="I11" s="179">
        <f>I9</f>
        <v>46061</v>
      </c>
      <c r="J11" s="180"/>
      <c r="K11" s="40" t="s">
        <v>625</v>
      </c>
      <c r="L11" s="189"/>
      <c r="M11" s="189"/>
      <c r="N11" s="41"/>
    </row>
    <row r="12" spans="1:17" ht="24.75" customHeight="1" x14ac:dyDescent="0.4">
      <c r="A12" s="186">
        <f>A9</f>
        <v>46063</v>
      </c>
      <c r="B12" s="187"/>
      <c r="C12" s="40" t="s">
        <v>624</v>
      </c>
      <c r="D12" s="215"/>
      <c r="E12" s="216"/>
      <c r="F12" s="150" t="s">
        <v>628</v>
      </c>
      <c r="H12" s="31"/>
      <c r="I12" s="179">
        <f>I9</f>
        <v>46061</v>
      </c>
      <c r="J12" s="180"/>
      <c r="K12" s="40" t="s">
        <v>624</v>
      </c>
      <c r="L12" s="178"/>
      <c r="M12" s="178"/>
      <c r="N12" s="86" t="s">
        <v>628</v>
      </c>
      <c r="O12" s="32"/>
    </row>
    <row r="13" spans="1:17" ht="24.75" customHeight="1" thickBot="1" x14ac:dyDescent="0.45">
      <c r="A13" s="176">
        <f>A10</f>
        <v>46063</v>
      </c>
      <c r="B13" s="177"/>
      <c r="C13" s="40" t="s">
        <v>584</v>
      </c>
      <c r="D13" s="218"/>
      <c r="E13" s="219"/>
      <c r="F13" s="85" t="s">
        <v>585</v>
      </c>
      <c r="H13" s="31"/>
      <c r="I13" s="179">
        <f>I10</f>
        <v>46061</v>
      </c>
      <c r="J13" s="180"/>
      <c r="K13" s="40" t="s">
        <v>584</v>
      </c>
      <c r="L13" s="178"/>
      <c r="M13" s="178"/>
      <c r="N13" s="85" t="s">
        <v>570</v>
      </c>
    </row>
    <row r="14" spans="1:17" ht="24.75" customHeight="1" thickTop="1" x14ac:dyDescent="0.4">
      <c r="A14" s="181" t="s">
        <v>422</v>
      </c>
      <c r="B14" s="182"/>
      <c r="C14" s="183"/>
      <c r="D14" s="184">
        <f>SUM(D6:E13)</f>
        <v>0</v>
      </c>
      <c r="E14" s="185"/>
      <c r="F14" s="42"/>
      <c r="H14" s="31"/>
      <c r="I14" s="181" t="s">
        <v>422</v>
      </c>
      <c r="J14" s="182"/>
      <c r="K14" s="183"/>
      <c r="L14" s="184">
        <f>SUM(L6:M13)</f>
        <v>0</v>
      </c>
      <c r="M14" s="185"/>
      <c r="N14" s="42"/>
      <c r="O14" s="32">
        <f>L14+D14</f>
        <v>0</v>
      </c>
    </row>
    <row r="15" spans="1:17" x14ac:dyDescent="0.4">
      <c r="A15" s="36"/>
      <c r="F15" s="37"/>
      <c r="H15" s="31"/>
      <c r="I15" s="36"/>
      <c r="N15" s="37"/>
      <c r="O15" s="107" t="e">
        <f>O14/1000-#REF!</f>
        <v>#REF!</v>
      </c>
      <c r="Q15" s="32"/>
    </row>
    <row r="16" spans="1:17" ht="33.75" customHeight="1" x14ac:dyDescent="0.4">
      <c r="A16" s="217">
        <v>46061</v>
      </c>
      <c r="B16" s="171"/>
      <c r="C16" s="171"/>
      <c r="D16" s="171"/>
      <c r="E16" s="171"/>
      <c r="F16" s="172"/>
      <c r="H16" s="31"/>
      <c r="I16" s="217">
        <f>A16</f>
        <v>46061</v>
      </c>
      <c r="J16" s="171"/>
      <c r="K16" s="171"/>
      <c r="L16" s="171"/>
      <c r="M16" s="171"/>
      <c r="N16" s="172"/>
      <c r="O16" s="32"/>
    </row>
    <row r="17" spans="1:14" ht="69" customHeight="1" thickBot="1" x14ac:dyDescent="0.45">
      <c r="A17" s="173" t="s">
        <v>586</v>
      </c>
      <c r="B17" s="174"/>
      <c r="C17" s="174"/>
      <c r="D17" s="174"/>
      <c r="E17" s="174"/>
      <c r="F17" s="175"/>
      <c r="H17" s="31"/>
      <c r="I17" s="173" t="s">
        <v>586</v>
      </c>
      <c r="J17" s="174"/>
      <c r="K17" s="174"/>
      <c r="L17" s="174"/>
      <c r="M17" s="174"/>
      <c r="N17" s="175"/>
    </row>
  </sheetData>
  <mergeCells count="50">
    <mergeCell ref="A16:F16"/>
    <mergeCell ref="I16:N16"/>
    <mergeCell ref="A17:F17"/>
    <mergeCell ref="I17:N17"/>
    <mergeCell ref="A13:B13"/>
    <mergeCell ref="D13:E13"/>
    <mergeCell ref="I13:J13"/>
    <mergeCell ref="L13:M13"/>
    <mergeCell ref="A14:C14"/>
    <mergeCell ref="D14:E14"/>
    <mergeCell ref="I14:K14"/>
    <mergeCell ref="L14:M14"/>
    <mergeCell ref="A11:B11"/>
    <mergeCell ref="D11:E11"/>
    <mergeCell ref="I11:J11"/>
    <mergeCell ref="L11:M11"/>
    <mergeCell ref="A12:B12"/>
    <mergeCell ref="D12:E12"/>
    <mergeCell ref="I12:J12"/>
    <mergeCell ref="L12:M12"/>
    <mergeCell ref="A9:B9"/>
    <mergeCell ref="D9:E9"/>
    <mergeCell ref="I9:J9"/>
    <mergeCell ref="L9:M9"/>
    <mergeCell ref="A10:B10"/>
    <mergeCell ref="D10:E10"/>
    <mergeCell ref="I10:J10"/>
    <mergeCell ref="L10:M10"/>
    <mergeCell ref="A7:B7"/>
    <mergeCell ref="D7:E7"/>
    <mergeCell ref="I7:J7"/>
    <mergeCell ref="L7:M7"/>
    <mergeCell ref="A8:B8"/>
    <mergeCell ref="D8:E8"/>
    <mergeCell ref="I8:J8"/>
    <mergeCell ref="L8:M8"/>
    <mergeCell ref="A5:B5"/>
    <mergeCell ref="D5:E5"/>
    <mergeCell ref="I5:J5"/>
    <mergeCell ref="L5:M5"/>
    <mergeCell ref="A6:B6"/>
    <mergeCell ref="D6:E6"/>
    <mergeCell ref="I6:J6"/>
    <mergeCell ref="L6:M6"/>
    <mergeCell ref="A1:A2"/>
    <mergeCell ref="I1:I2"/>
    <mergeCell ref="A3:F3"/>
    <mergeCell ref="I3:N3"/>
    <mergeCell ref="A4:F4"/>
    <mergeCell ref="I4:N4"/>
  </mergeCells>
  <phoneticPr fontId="42" type="noConversion"/>
  <pageMargins left="0.70866141732283472" right="0.70866141732283472" top="0.92" bottom="0.74803149606299213" header="0.31496062992125984" footer="0.31496062992125984"/>
  <pageSetup paperSize="9" scale="99" orientation="landscape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4</vt:i4>
      </vt:variant>
    </vt:vector>
  </HeadingPairs>
  <TitlesOfParts>
    <vt:vector size="10" baseType="lpstr">
      <vt:lpstr>주별 헌금 장부기록 1-7</vt:lpstr>
      <vt:lpstr>2026년 헌금 전체 누계</vt:lpstr>
      <vt:lpstr>인원집계</vt:lpstr>
      <vt:lpstr>헌금 봉투 번호 (2026)</vt:lpstr>
      <vt:lpstr>입금전표 (수요집금)</vt:lpstr>
      <vt:lpstr>입금전표</vt:lpstr>
      <vt:lpstr>입금전표!Print_Area</vt:lpstr>
      <vt:lpstr>'입금전표 (수요집금)'!Print_Area</vt:lpstr>
      <vt:lpstr>'2026년 헌금 전체 누계'!Print_Titles</vt:lpstr>
      <vt:lpstr>'주별 헌금 장부기록 1-7'!Print_Titles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JUNSUK LEEM</cp:lastModifiedBy>
  <cp:lastPrinted>2026-02-08T07:50:47Z</cp:lastPrinted>
  <dcterms:created xsi:type="dcterms:W3CDTF">2012-01-08T05:42:19Z</dcterms:created>
  <dcterms:modified xsi:type="dcterms:W3CDTF">2026-03-14T06:21:51Z</dcterms:modified>
</cp:coreProperties>
</file>